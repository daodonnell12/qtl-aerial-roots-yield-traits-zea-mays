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la-ongthip/Desktop/Davy/"/>
    </mc:Choice>
  </mc:AlternateContent>
  <xr:revisionPtr revIDLastSave="0" documentId="13_ncr:1_{E6B48BAB-04A1-CF46-94A3-1D6A8624C36D}" xr6:coauthVersionLast="47" xr6:coauthVersionMax="47" xr10:uidLastSave="{00000000-0000-0000-0000-000000000000}"/>
  <bookViews>
    <workbookView xWindow="0" yWindow="500" windowWidth="28800" windowHeight="16560" xr2:uid="{00000000-000D-0000-FFFF-FFFF00000000}"/>
  </bookViews>
  <sheets>
    <sheet name="Zea-Trial-1_Metadata_Avg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uri="GoogleSheetsCustomDataVersion2">
      <go:sheetsCustomData xmlns:go="http://customooxmlschemas.google.com/" r:id="rId5" roundtripDataChecksum="QguL59oozm9aZ4a4446Z32dx9LXvC+138sz4GD8iscE="/>
    </ext>
  </extLst>
</workbook>
</file>

<file path=xl/calcChain.xml><?xml version="1.0" encoding="utf-8"?>
<calcChain xmlns="http://schemas.openxmlformats.org/spreadsheetml/2006/main">
  <c r="AE89" i="1" l="1"/>
  <c r="AC89" i="1"/>
  <c r="AB89" i="1"/>
  <c r="AE87" i="1"/>
  <c r="AC87" i="1"/>
  <c r="AB87" i="1"/>
  <c r="AE86" i="1"/>
  <c r="AC86" i="1"/>
  <c r="AB86" i="1"/>
  <c r="AE85" i="1"/>
  <c r="AC85" i="1"/>
  <c r="AB85" i="1"/>
  <c r="AE83" i="1"/>
  <c r="AC83" i="1"/>
  <c r="AB83" i="1"/>
  <c r="AE82" i="1"/>
  <c r="AC82" i="1"/>
  <c r="AB82" i="1"/>
  <c r="AE81" i="1"/>
  <c r="AC81" i="1"/>
  <c r="AB81" i="1"/>
  <c r="AE79" i="1"/>
  <c r="AC79" i="1"/>
  <c r="AB79" i="1"/>
  <c r="AE78" i="1"/>
  <c r="AC78" i="1"/>
  <c r="AB78" i="1"/>
  <c r="AE76" i="1"/>
  <c r="AC76" i="1"/>
  <c r="AB76" i="1"/>
  <c r="AE75" i="1"/>
  <c r="AC75" i="1"/>
  <c r="AB75" i="1"/>
  <c r="AE74" i="1"/>
  <c r="AC74" i="1"/>
  <c r="AB74" i="1"/>
  <c r="AE73" i="1"/>
  <c r="AC73" i="1"/>
  <c r="AB73" i="1"/>
  <c r="AE72" i="1"/>
  <c r="AC72" i="1"/>
  <c r="AB72" i="1"/>
  <c r="AE71" i="1"/>
  <c r="AC71" i="1"/>
  <c r="AB71" i="1"/>
  <c r="AE70" i="1"/>
  <c r="AC70" i="1"/>
  <c r="AB70" i="1"/>
  <c r="AE69" i="1"/>
  <c r="AC69" i="1"/>
  <c r="AB69" i="1"/>
  <c r="AE68" i="1"/>
  <c r="AC68" i="1"/>
  <c r="AB68" i="1"/>
  <c r="AE67" i="1"/>
  <c r="AC67" i="1"/>
  <c r="AB67" i="1"/>
  <c r="AE66" i="1"/>
  <c r="AC66" i="1"/>
  <c r="AB66" i="1"/>
  <c r="AE65" i="1"/>
  <c r="AC65" i="1"/>
  <c r="AB65" i="1"/>
  <c r="AB64" i="1"/>
  <c r="AE63" i="1"/>
  <c r="AC63" i="1"/>
  <c r="AB63" i="1"/>
</calcChain>
</file>

<file path=xl/sharedStrings.xml><?xml version="1.0" encoding="utf-8"?>
<sst xmlns="http://schemas.openxmlformats.org/spreadsheetml/2006/main" count="528" uniqueCount="121">
  <si>
    <t>GROUP</t>
  </si>
  <si>
    <t>NAME</t>
  </si>
  <si>
    <t>d15N_T1_Mean</t>
  </si>
  <si>
    <t>d15N_T1_SD</t>
  </si>
  <si>
    <t>d15N_T1_Count</t>
  </si>
  <si>
    <t>d15N_T1_SE</t>
  </si>
  <si>
    <t>NDFA_T1_Mean</t>
  </si>
  <si>
    <t>NDFA_T1_SD</t>
  </si>
  <si>
    <t>NDFA_T1_Count</t>
  </si>
  <si>
    <t>NDFA_T1_SE</t>
  </si>
  <si>
    <t>d15N_T2_Mean</t>
  </si>
  <si>
    <t>d15N_T2_SD</t>
  </si>
  <si>
    <t>d15N_T2_Count</t>
  </si>
  <si>
    <t>d15N_T2_SE</t>
  </si>
  <si>
    <t>NDFA_T2_Mean</t>
  </si>
  <si>
    <t>NDFA_T2_SD</t>
  </si>
  <si>
    <t>NDFA_T2_Count</t>
  </si>
  <si>
    <t>NDFA_T2_SE</t>
  </si>
  <si>
    <t>HEIGHT_in_Mean</t>
  </si>
  <si>
    <t>HEIGHT_in_SD</t>
  </si>
  <si>
    <t>HEIGHT_in_Count</t>
  </si>
  <si>
    <t>HEIGHT_in_SE</t>
  </si>
  <si>
    <t>NODES_Mean</t>
  </si>
  <si>
    <t>NODES_SD</t>
  </si>
  <si>
    <t>NODES_Count</t>
  </si>
  <si>
    <t>NODES_SE</t>
  </si>
  <si>
    <t>NODES_w_BR_Mean</t>
  </si>
  <si>
    <t>NODES_w_BR_SD</t>
  </si>
  <si>
    <t>NODES_w_BR_Count</t>
  </si>
  <si>
    <t>NODES_w_BR_SE</t>
  </si>
  <si>
    <t>NODES_w_AR_Mean</t>
  </si>
  <si>
    <t>NODES_w_AR_SD</t>
  </si>
  <si>
    <t>NODES_w_AR_Count</t>
  </si>
  <si>
    <t>NODES_w_AR_SE</t>
  </si>
  <si>
    <t>NODES_w_BRandAR_Mean</t>
  </si>
  <si>
    <t>NODES_w_BRandAR_SD</t>
  </si>
  <si>
    <t>NODES_w_BRandAR_Count</t>
  </si>
  <si>
    <t>NODES_w_BRandAR_SE</t>
  </si>
  <si>
    <t>DAYS_TO_TASSEL_Mean</t>
  </si>
  <si>
    <t>DAYS_TO_TASSEL_SD</t>
  </si>
  <si>
    <t>DAYS_TO_TASSEL_Count</t>
  </si>
  <si>
    <t>DAYS_TO_TASSEL_SE</t>
  </si>
  <si>
    <t>DAYS_TO_POLLEN_Mean</t>
  </si>
  <si>
    <t>DAYS_TO_POLLEN_SD</t>
  </si>
  <si>
    <t>DAYS_TO_POLLEN_Count</t>
  </si>
  <si>
    <t>DAYS_TO_POLLEN_SE</t>
  </si>
  <si>
    <t>COBS_Mean</t>
  </si>
  <si>
    <t>COBS_SD</t>
  </si>
  <si>
    <t>COBS_Count</t>
  </si>
  <si>
    <t>COBS_SE</t>
  </si>
  <si>
    <t>SILKS_Mean</t>
  </si>
  <si>
    <t>SILKS_SD</t>
  </si>
  <si>
    <t>SILKS_Count</t>
  </si>
  <si>
    <t>SILKS_SE</t>
  </si>
  <si>
    <t>Lowland Cultivar</t>
  </si>
  <si>
    <t>* Jaltepec de Candoyoc</t>
  </si>
  <si>
    <t>NA</t>
  </si>
  <si>
    <t>* Moctum</t>
  </si>
  <si>
    <t>* San Ildefonso Villa Alta</t>
  </si>
  <si>
    <t>Highland Cultivar</t>
  </si>
  <si>
    <t>** Santa Maria Tiltepec</t>
  </si>
  <si>
    <t>** Totontepec - Vidal</t>
  </si>
  <si>
    <t>* Santa Maria Temaxcalapa</t>
  </si>
  <si>
    <t>* San Juan Comaltepec</t>
  </si>
  <si>
    <t>** Totontepec - Vicente</t>
  </si>
  <si>
    <t>* San Cristobal Lachirioag</t>
  </si>
  <si>
    <t>* Santiago Choapam</t>
  </si>
  <si>
    <t>** San Miguel Metepec</t>
  </si>
  <si>
    <t>* San Jose Chinantequilla</t>
  </si>
  <si>
    <t>** Totontepec - Carmita</t>
  </si>
  <si>
    <t>* Santiago Tepitongo</t>
  </si>
  <si>
    <t>* Jala, Nayarit</t>
  </si>
  <si>
    <t>** Venustiano Carranza, DG</t>
  </si>
  <si>
    <t>Pre-domesticate</t>
  </si>
  <si>
    <t>Teosinte - Mexicana</t>
  </si>
  <si>
    <t>Teosinte - Diploperennis</t>
  </si>
  <si>
    <t>Teosinte - Parviglumis</t>
  </si>
  <si>
    <t>Post-improvement</t>
  </si>
  <si>
    <t>Mo17</t>
  </si>
  <si>
    <t>B73 x Mo17</t>
  </si>
  <si>
    <t>B73</t>
  </si>
  <si>
    <t>Hickory King</t>
  </si>
  <si>
    <t>HEIGHT_cm_Mean</t>
  </si>
  <si>
    <t>HEIGHT_cm_SD</t>
  </si>
  <si>
    <t>HEIGHT_cm_Count</t>
  </si>
  <si>
    <t>HEIGHT_cm_SE</t>
  </si>
  <si>
    <t>Key</t>
  </si>
  <si>
    <t>Carmita</t>
  </si>
  <si>
    <t>Totontepec cultivar 1</t>
  </si>
  <si>
    <t>Vicente</t>
  </si>
  <si>
    <t>Totontepec cultivar 2</t>
  </si>
  <si>
    <t>Vidal</t>
  </si>
  <si>
    <t>Totontepec cultivar 3</t>
  </si>
  <si>
    <t>NDFA_T1_B73xMo17-ref_Mean</t>
  </si>
  <si>
    <t>NDFA_T1_B73xMo17-ref_SD</t>
  </si>
  <si>
    <t>NDFA_T1_B73xMo17-ref_Count</t>
  </si>
  <si>
    <t>NDFA_T1_B73xMo17-ref_SE</t>
  </si>
  <si>
    <t>NDFA_T1_B73-ref_Mean</t>
  </si>
  <si>
    <t>NDFA_T1_B73-ref_SD</t>
  </si>
  <si>
    <t>NDFA_T1_B73-ref_Count</t>
  </si>
  <si>
    <t>NDFA_T1_B73-ref_SE</t>
  </si>
  <si>
    <t>NDFA_T2_B73xMo17-ref_Mean</t>
  </si>
  <si>
    <t>NDFA_T2_B73xMo17-ref_SD</t>
  </si>
  <si>
    <t>NDFA_T2_B73xMo17-ref_Count</t>
  </si>
  <si>
    <t>NDFA_T2_B73xMo17-ref_SE</t>
  </si>
  <si>
    <t>NDFA_T2_B73-ref_Mean</t>
  </si>
  <si>
    <t>NDFA_T2_B73-ref_SD</t>
  </si>
  <si>
    <t>NDFA_T2_B73-ref_Count</t>
  </si>
  <si>
    <t>NDFA_T2_B73-ref_SE</t>
  </si>
  <si>
    <t>** Totontepec cultivar 3</t>
  </si>
  <si>
    <t>** Totontepec cultivar 2</t>
  </si>
  <si>
    <t>** Totontepec cultivar 1</t>
  </si>
  <si>
    <t>B73 x Mo17 (1A)</t>
  </si>
  <si>
    <t>B73 x Mo17 (1D)</t>
  </si>
  <si>
    <t>B73 x Mo17 (3C)</t>
  </si>
  <si>
    <t>B73 x Mo17 (5B)</t>
  </si>
  <si>
    <t>B73 x Mo17 (7A)</t>
  </si>
  <si>
    <t>B73 x Mo17 (7D)</t>
  </si>
  <si>
    <t>B73 x Mo17 (Avg.*)</t>
  </si>
  <si>
    <t>B73 x Mo17 reference</t>
  </si>
  <si>
    <t>B73 reference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</si>
</sst>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scheme val="minor"/>
    </font>
    <font>
      <sz val="12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6B26B"/>
        <bgColor rgb="FFF6B26B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2" fontId="2" fillId="0" borderId="0" xfId="0" applyNumberFormat="1" applyFont="1"/>
    <xf numFmtId="4" fontId="2" fillId="0" borderId="0" xfId="0" applyNumberFormat="1" applyFont="1"/>
    <xf numFmtId="0" fontId="2" fillId="2" borderId="0" xfId="0" applyFont="1" applyFill="1"/>
    <xf numFmtId="0" fontId="2" fillId="3" borderId="0" xfId="0" applyFont="1" applyFill="1"/>
    <xf numFmtId="0" fontId="3" fillId="2" borderId="1" xfId="0" applyFont="1" applyFill="1" applyBorder="1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4E9E9"/>
      <color rgb="FF7BE1E8"/>
      <color rgb="FFBF91EB"/>
      <color rgb="FFEA847F"/>
      <color rgb="FFDC856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2000" b="0" i="0">
                <a:solidFill>
                  <a:srgbClr val="000000"/>
                </a:solidFill>
                <a:latin typeface="Arial"/>
              </a:defRPr>
            </a:pPr>
            <a:r>
              <a:rPr lang="en-US" sz="2000" b="0" i="0">
                <a:solidFill>
                  <a:srgbClr val="000000"/>
                </a:solidFill>
                <a:latin typeface="Arial"/>
              </a:rPr>
              <a:t>d15N Variation among Zea Subpopulations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T1 = 9 weeks</c:v>
          </c:tx>
          <c:spPr>
            <a:solidFill>
              <a:srgbClr val="B7B7B7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'Zea-Trial-1_Metadata_Avg'!$B$2:$B$27</c:f>
              <c:strCache>
                <c:ptCount val="26"/>
                <c:pt idx="0">
                  <c:v>* Jaltepec de Candoyoc</c:v>
                </c:pt>
                <c:pt idx="1">
                  <c:v>* Moctum</c:v>
                </c:pt>
                <c:pt idx="2">
                  <c:v>* San Ildefonso Villa Alta</c:v>
                </c:pt>
                <c:pt idx="3">
                  <c:v>** Santa Maria Tiltepec</c:v>
                </c:pt>
                <c:pt idx="4">
                  <c:v>** Totontepec - Vidal</c:v>
                </c:pt>
                <c:pt idx="5">
                  <c:v>* Santa Maria Temaxcalapa</c:v>
                </c:pt>
                <c:pt idx="6">
                  <c:v>* San Juan Comaltepec</c:v>
                </c:pt>
                <c:pt idx="7">
                  <c:v>** Totontepec - Vicente</c:v>
                </c:pt>
                <c:pt idx="8">
                  <c:v>* San Cristobal Lachirioag</c:v>
                </c:pt>
                <c:pt idx="9">
                  <c:v>* Santiago Choapam</c:v>
                </c:pt>
                <c:pt idx="10">
                  <c:v>** San Miguel Metepec</c:v>
                </c:pt>
                <c:pt idx="11">
                  <c:v>* San Jose Chinantequilla</c:v>
                </c:pt>
                <c:pt idx="12">
                  <c:v>** Totontepec - Carmita</c:v>
                </c:pt>
                <c:pt idx="13">
                  <c:v>* Santiago Tepitongo</c:v>
                </c:pt>
                <c:pt idx="15">
                  <c:v>* Jala, Nayarit</c:v>
                </c:pt>
                <c:pt idx="16">
                  <c:v>** Venustiano Carranza, DG</c:v>
                </c:pt>
                <c:pt idx="18">
                  <c:v>Teosinte - Mexicana</c:v>
                </c:pt>
                <c:pt idx="19">
                  <c:v>Teosinte - Diploperennis</c:v>
                </c:pt>
                <c:pt idx="20">
                  <c:v>Teosinte - Parviglumis</c:v>
                </c:pt>
                <c:pt idx="22">
                  <c:v>Mo17</c:v>
                </c:pt>
                <c:pt idx="23">
                  <c:v>B73 x Mo17</c:v>
                </c:pt>
                <c:pt idx="24">
                  <c:v>B73</c:v>
                </c:pt>
                <c:pt idx="25">
                  <c:v>Hickory King</c:v>
                </c:pt>
              </c:strCache>
            </c:strRef>
          </c:cat>
          <c:val>
            <c:numRef>
              <c:f>'Zea-Trial-1_Metadata_Avg'!$C$2:$C$27</c:f>
              <c:numCache>
                <c:formatCode>General</c:formatCode>
                <c:ptCount val="26"/>
                <c:pt idx="0">
                  <c:v>-0.80979556699999999</c:v>
                </c:pt>
                <c:pt idx="1">
                  <c:v>-0.40960823499999999</c:v>
                </c:pt>
                <c:pt idx="2">
                  <c:v>1.4450030169999999</c:v>
                </c:pt>
                <c:pt idx="3">
                  <c:v>1.46794607</c:v>
                </c:pt>
                <c:pt idx="4">
                  <c:v>1.61679452</c:v>
                </c:pt>
                <c:pt idx="5">
                  <c:v>1.9558772820000001</c:v>
                </c:pt>
                <c:pt idx="6">
                  <c:v>2.965245806</c:v>
                </c:pt>
                <c:pt idx="7">
                  <c:v>3.5981564079999999</c:v>
                </c:pt>
                <c:pt idx="8">
                  <c:v>3.6621340660000001</c:v>
                </c:pt>
                <c:pt idx="9">
                  <c:v>3.977018508</c:v>
                </c:pt>
                <c:pt idx="10">
                  <c:v>5.8828127439999998</c:v>
                </c:pt>
                <c:pt idx="11">
                  <c:v>7.1150215269999997</c:v>
                </c:pt>
                <c:pt idx="12">
                  <c:v>7.582375495</c:v>
                </c:pt>
                <c:pt idx="13">
                  <c:v>8.562713746</c:v>
                </c:pt>
                <c:pt idx="15">
                  <c:v>2.960545459</c:v>
                </c:pt>
                <c:pt idx="16">
                  <c:v>3.0902559119999999</c:v>
                </c:pt>
                <c:pt idx="18">
                  <c:v>1.3522654089999999</c:v>
                </c:pt>
                <c:pt idx="19">
                  <c:v>2.406094849</c:v>
                </c:pt>
                <c:pt idx="20">
                  <c:v>2.9083361210000001</c:v>
                </c:pt>
                <c:pt idx="22">
                  <c:v>4.5755428800000004</c:v>
                </c:pt>
                <c:pt idx="23">
                  <c:v>5.0624044509999999</c:v>
                </c:pt>
                <c:pt idx="24">
                  <c:v>6.6937726250000003</c:v>
                </c:pt>
                <c:pt idx="25">
                  <c:v>8.3952478710000005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91DF-994F-B74F-0EEAEED13D84}"/>
            </c:ext>
          </c:extLst>
        </c:ser>
        <c:ser>
          <c:idx val="1"/>
          <c:order val="1"/>
          <c:tx>
            <c:v>T2 = 13 weeks</c:v>
          </c:tx>
          <c:spPr>
            <a:solidFill>
              <a:srgbClr val="000000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6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2-91DF-994F-B74F-0EEAEED13D84}"/>
              </c:ext>
            </c:extLst>
          </c:dPt>
          <c:cat>
            <c:strRef>
              <c:f>'Zea-Trial-1_Metadata_Avg'!$B$2:$B$27</c:f>
              <c:strCache>
                <c:ptCount val="26"/>
                <c:pt idx="0">
                  <c:v>* Jaltepec de Candoyoc</c:v>
                </c:pt>
                <c:pt idx="1">
                  <c:v>* Moctum</c:v>
                </c:pt>
                <c:pt idx="2">
                  <c:v>* San Ildefonso Villa Alta</c:v>
                </c:pt>
                <c:pt idx="3">
                  <c:v>** Santa Maria Tiltepec</c:v>
                </c:pt>
                <c:pt idx="4">
                  <c:v>** Totontepec - Vidal</c:v>
                </c:pt>
                <c:pt idx="5">
                  <c:v>* Santa Maria Temaxcalapa</c:v>
                </c:pt>
                <c:pt idx="6">
                  <c:v>* San Juan Comaltepec</c:v>
                </c:pt>
                <c:pt idx="7">
                  <c:v>** Totontepec - Vicente</c:v>
                </c:pt>
                <c:pt idx="8">
                  <c:v>* San Cristobal Lachirioag</c:v>
                </c:pt>
                <c:pt idx="9">
                  <c:v>* Santiago Choapam</c:v>
                </c:pt>
                <c:pt idx="10">
                  <c:v>** San Miguel Metepec</c:v>
                </c:pt>
                <c:pt idx="11">
                  <c:v>* San Jose Chinantequilla</c:v>
                </c:pt>
                <c:pt idx="12">
                  <c:v>** Totontepec - Carmita</c:v>
                </c:pt>
                <c:pt idx="13">
                  <c:v>* Santiago Tepitongo</c:v>
                </c:pt>
                <c:pt idx="15">
                  <c:v>* Jala, Nayarit</c:v>
                </c:pt>
                <c:pt idx="16">
                  <c:v>** Venustiano Carranza, DG</c:v>
                </c:pt>
                <c:pt idx="18">
                  <c:v>Teosinte - Mexicana</c:v>
                </c:pt>
                <c:pt idx="19">
                  <c:v>Teosinte - Diploperennis</c:v>
                </c:pt>
                <c:pt idx="20">
                  <c:v>Teosinte - Parviglumis</c:v>
                </c:pt>
                <c:pt idx="22">
                  <c:v>Mo17</c:v>
                </c:pt>
                <c:pt idx="23">
                  <c:v>B73 x Mo17</c:v>
                </c:pt>
                <c:pt idx="24">
                  <c:v>B73</c:v>
                </c:pt>
                <c:pt idx="25">
                  <c:v>Hickory King</c:v>
                </c:pt>
              </c:strCache>
            </c:strRef>
          </c:cat>
          <c:val>
            <c:numRef>
              <c:f>'Zea-Trial-1_Metadata_Avg'!$K$2:$K$27</c:f>
              <c:numCache>
                <c:formatCode>General</c:formatCode>
                <c:ptCount val="26"/>
                <c:pt idx="0">
                  <c:v>1.5941249529999999</c:v>
                </c:pt>
                <c:pt idx="1">
                  <c:v>3.6370819089999999</c:v>
                </c:pt>
                <c:pt idx="2">
                  <c:v>2.5705530830000001</c:v>
                </c:pt>
                <c:pt idx="3">
                  <c:v>3.4929694530000002</c:v>
                </c:pt>
                <c:pt idx="4">
                  <c:v>2.7613103099999998</c:v>
                </c:pt>
                <c:pt idx="5">
                  <c:v>2.9986478550000002</c:v>
                </c:pt>
                <c:pt idx="6">
                  <c:v>4.7830080180000003</c:v>
                </c:pt>
                <c:pt idx="7">
                  <c:v>5.1897409889999997</c:v>
                </c:pt>
                <c:pt idx="8">
                  <c:v>5.6393791450000004</c:v>
                </c:pt>
                <c:pt idx="9">
                  <c:v>4.1565943289999998</c:v>
                </c:pt>
                <c:pt idx="10">
                  <c:v>6.8833448830000004</c:v>
                </c:pt>
                <c:pt idx="11">
                  <c:v>7.7622538759999999</c:v>
                </c:pt>
                <c:pt idx="12">
                  <c:v>8.4136483749999993</c:v>
                </c:pt>
                <c:pt idx="13">
                  <c:v>8.9073356080000003</c:v>
                </c:pt>
                <c:pt idx="15">
                  <c:v>5.0534275009999998</c:v>
                </c:pt>
                <c:pt idx="16">
                  <c:v>4.1252708460000003</c:v>
                </c:pt>
                <c:pt idx="18">
                  <c:v>3.091878983</c:v>
                </c:pt>
                <c:pt idx="19">
                  <c:v>3.792712146</c:v>
                </c:pt>
                <c:pt idx="20">
                  <c:v>3.719335761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91DF-994F-B74F-0EEAEED13D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56418534"/>
        <c:axId val="1853868195"/>
      </c:barChart>
      <c:catAx>
        <c:axId val="14564185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1200" b="0" i="0">
                <a:solidFill>
                  <a:srgbClr val="000000"/>
                </a:solidFill>
                <a:latin typeface="Arial"/>
              </a:defRPr>
            </a:pPr>
            <a:endParaRPr lang="en-US"/>
          </a:p>
        </c:txPr>
        <c:crossAx val="1853868195"/>
        <c:crosses val="autoZero"/>
        <c:auto val="1"/>
        <c:lblAlgn val="ctr"/>
        <c:lblOffset val="100"/>
        <c:noMultiLvlLbl val="1"/>
      </c:catAx>
      <c:valAx>
        <c:axId val="185386819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sz="2000" b="0" i="0">
                    <a:solidFill>
                      <a:srgbClr val="000000"/>
                    </a:solidFill>
                    <a:latin typeface="Arial"/>
                  </a:defRPr>
                </a:pPr>
                <a:r>
                  <a:rPr lang="en-US" sz="2000" b="0" i="0">
                    <a:solidFill>
                      <a:srgbClr val="000000"/>
                    </a:solidFill>
                    <a:latin typeface="Arial"/>
                  </a:rPr>
                  <a:t>15N Values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56418534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1600" b="0" i="0">
              <a:solidFill>
                <a:srgbClr val="1A1A1A"/>
              </a:solidFill>
              <a:latin typeface="Arial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2000" b="0" i="0">
                <a:solidFill>
                  <a:srgbClr val="757575"/>
                </a:solidFill>
                <a:latin typeface="PT Sans"/>
              </a:defRPr>
            </a:pPr>
            <a:r>
              <a:rPr lang="en-US" sz="2000" b="0" i="0">
                <a:solidFill>
                  <a:srgbClr val="757575"/>
                </a:solidFill>
                <a:latin typeface="PT Sans"/>
              </a:rPr>
              <a:t>NDFA Variation among Zea Subpopulations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T1 = 9 weeks</c:v>
          </c:tx>
          <c:spPr>
            <a:solidFill>
              <a:srgbClr val="5B9BD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'Zea-Trial-1_Metadata_Avg'!$B$2:$B$27</c:f>
              <c:strCache>
                <c:ptCount val="26"/>
                <c:pt idx="0">
                  <c:v>* Jaltepec de Candoyoc</c:v>
                </c:pt>
                <c:pt idx="1">
                  <c:v>* Moctum</c:v>
                </c:pt>
                <c:pt idx="2">
                  <c:v>* San Ildefonso Villa Alta</c:v>
                </c:pt>
                <c:pt idx="3">
                  <c:v>** Santa Maria Tiltepec</c:v>
                </c:pt>
                <c:pt idx="4">
                  <c:v>** Totontepec - Vidal</c:v>
                </c:pt>
                <c:pt idx="5">
                  <c:v>* Santa Maria Temaxcalapa</c:v>
                </c:pt>
                <c:pt idx="6">
                  <c:v>* San Juan Comaltepec</c:v>
                </c:pt>
                <c:pt idx="7">
                  <c:v>** Totontepec - Vicente</c:v>
                </c:pt>
                <c:pt idx="8">
                  <c:v>* San Cristobal Lachirioag</c:v>
                </c:pt>
                <c:pt idx="9">
                  <c:v>* Santiago Choapam</c:v>
                </c:pt>
                <c:pt idx="10">
                  <c:v>** San Miguel Metepec</c:v>
                </c:pt>
                <c:pt idx="11">
                  <c:v>* San Jose Chinantequilla</c:v>
                </c:pt>
                <c:pt idx="12">
                  <c:v>** Totontepec - Carmita</c:v>
                </c:pt>
                <c:pt idx="13">
                  <c:v>* Santiago Tepitongo</c:v>
                </c:pt>
                <c:pt idx="15">
                  <c:v>* Jala, Nayarit</c:v>
                </c:pt>
                <c:pt idx="16">
                  <c:v>** Venustiano Carranza, DG</c:v>
                </c:pt>
                <c:pt idx="18">
                  <c:v>Teosinte - Mexicana</c:v>
                </c:pt>
                <c:pt idx="19">
                  <c:v>Teosinte - Diploperennis</c:v>
                </c:pt>
                <c:pt idx="20">
                  <c:v>Teosinte - Parviglumis</c:v>
                </c:pt>
                <c:pt idx="22">
                  <c:v>Mo17</c:v>
                </c:pt>
                <c:pt idx="23">
                  <c:v>B73 x Mo17</c:v>
                </c:pt>
                <c:pt idx="24">
                  <c:v>B73</c:v>
                </c:pt>
                <c:pt idx="25">
                  <c:v>Hickory King</c:v>
                </c:pt>
              </c:strCache>
            </c:strRef>
          </c:cat>
          <c:val>
            <c:numRef>
              <c:f>'Zea-Trial-1_Metadata_Avg'!$G$2:$G$27</c:f>
              <c:numCache>
                <c:formatCode>General</c:formatCode>
                <c:ptCount val="26"/>
                <c:pt idx="0">
                  <c:v>116.0469093</c:v>
                </c:pt>
                <c:pt idx="1">
                  <c:v>108.11679700000001</c:v>
                </c:pt>
                <c:pt idx="2">
                  <c:v>71.365819549999998</c:v>
                </c:pt>
                <c:pt idx="3">
                  <c:v>70.911180009999995</c:v>
                </c:pt>
                <c:pt idx="4">
                  <c:v>67.961599039999996</c:v>
                </c:pt>
                <c:pt idx="5">
                  <c:v>61.242334880000001</c:v>
                </c:pt>
                <c:pt idx="6">
                  <c:v>41.240687739999998</c:v>
                </c:pt>
                <c:pt idx="7">
                  <c:v>28.698930959999998</c:v>
                </c:pt>
                <c:pt idx="8">
                  <c:v>27.431149659999999</c:v>
                </c:pt>
                <c:pt idx="9">
                  <c:v>21.191399400000002</c:v>
                </c:pt>
                <c:pt idx="10">
                  <c:v>-16.573820040000001</c:v>
                </c:pt>
                <c:pt idx="11">
                  <c:v>-40.991269840000001</c:v>
                </c:pt>
                <c:pt idx="12">
                  <c:v>-50.252356310000003</c:v>
                </c:pt>
                <c:pt idx="13">
                  <c:v>-69.678739519999993</c:v>
                </c:pt>
                <c:pt idx="15">
                  <c:v>41.333829829999999</c:v>
                </c:pt>
                <c:pt idx="16">
                  <c:v>38.763487429999998</c:v>
                </c:pt>
                <c:pt idx="18">
                  <c:v>73.203508029999995</c:v>
                </c:pt>
                <c:pt idx="19">
                  <c:v>52.32082338</c:v>
                </c:pt>
                <c:pt idx="20">
                  <c:v>42.368410099999998</c:v>
                </c:pt>
                <c:pt idx="22">
                  <c:v>9.3310401929999998</c:v>
                </c:pt>
                <c:pt idx="23">
                  <c:v>0</c:v>
                </c:pt>
                <c:pt idx="24">
                  <c:v>-32.643801420000003</c:v>
                </c:pt>
                <c:pt idx="25">
                  <c:v>-66.360235680000002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BF28-A946-BA04-2ACB454C46C4}"/>
            </c:ext>
          </c:extLst>
        </c:ser>
        <c:ser>
          <c:idx val="1"/>
          <c:order val="1"/>
          <c:tx>
            <c:v>T2 = 13 weeks</c:v>
          </c:tx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'Zea-Trial-1_Metadata_Avg'!$B$2:$B$27</c:f>
              <c:strCache>
                <c:ptCount val="26"/>
                <c:pt idx="0">
                  <c:v>* Jaltepec de Candoyoc</c:v>
                </c:pt>
                <c:pt idx="1">
                  <c:v>* Moctum</c:v>
                </c:pt>
                <c:pt idx="2">
                  <c:v>* San Ildefonso Villa Alta</c:v>
                </c:pt>
                <c:pt idx="3">
                  <c:v>** Santa Maria Tiltepec</c:v>
                </c:pt>
                <c:pt idx="4">
                  <c:v>** Totontepec - Vidal</c:v>
                </c:pt>
                <c:pt idx="5">
                  <c:v>* Santa Maria Temaxcalapa</c:v>
                </c:pt>
                <c:pt idx="6">
                  <c:v>* San Juan Comaltepec</c:v>
                </c:pt>
                <c:pt idx="7">
                  <c:v>** Totontepec - Vicente</c:v>
                </c:pt>
                <c:pt idx="8">
                  <c:v>* San Cristobal Lachirioag</c:v>
                </c:pt>
                <c:pt idx="9">
                  <c:v>* Santiago Choapam</c:v>
                </c:pt>
                <c:pt idx="10">
                  <c:v>** San Miguel Metepec</c:v>
                </c:pt>
                <c:pt idx="11">
                  <c:v>* San Jose Chinantequilla</c:v>
                </c:pt>
                <c:pt idx="12">
                  <c:v>** Totontepec - Carmita</c:v>
                </c:pt>
                <c:pt idx="13">
                  <c:v>* Santiago Tepitongo</c:v>
                </c:pt>
                <c:pt idx="15">
                  <c:v>* Jala, Nayarit</c:v>
                </c:pt>
                <c:pt idx="16">
                  <c:v>** Venustiano Carranza, DG</c:v>
                </c:pt>
                <c:pt idx="18">
                  <c:v>Teosinte - Mexicana</c:v>
                </c:pt>
                <c:pt idx="19">
                  <c:v>Teosinte - Diploperennis</c:v>
                </c:pt>
                <c:pt idx="20">
                  <c:v>Teosinte - Parviglumis</c:v>
                </c:pt>
                <c:pt idx="22">
                  <c:v>Mo17</c:v>
                </c:pt>
                <c:pt idx="23">
                  <c:v>B73 x Mo17</c:v>
                </c:pt>
                <c:pt idx="24">
                  <c:v>B73</c:v>
                </c:pt>
                <c:pt idx="25">
                  <c:v>Hickory King</c:v>
                </c:pt>
              </c:strCache>
            </c:strRef>
          </c:cat>
          <c:val>
            <c:numRef>
              <c:f>'Zea-Trial-1_Metadata_Avg'!$O$2:$O$27</c:f>
              <c:numCache>
                <c:formatCode>General</c:formatCode>
                <c:ptCount val="26"/>
                <c:pt idx="0">
                  <c:v>68.410819189999998</c:v>
                </c:pt>
                <c:pt idx="1">
                  <c:v>27.927583219999999</c:v>
                </c:pt>
                <c:pt idx="2">
                  <c:v>49.061918919999997</c:v>
                </c:pt>
                <c:pt idx="3">
                  <c:v>30.783315699999999</c:v>
                </c:pt>
                <c:pt idx="4">
                  <c:v>45.28187363</c:v>
                </c:pt>
                <c:pt idx="5">
                  <c:v>40.578792730000004</c:v>
                </c:pt>
                <c:pt idx="6">
                  <c:v>5.219910907</c:v>
                </c:pt>
                <c:pt idx="7">
                  <c:v>-2.8399098330000001</c:v>
                </c:pt>
                <c:pt idx="8">
                  <c:v>-11.749939729999999</c:v>
                </c:pt>
                <c:pt idx="9">
                  <c:v>17.63292487</c:v>
                </c:pt>
                <c:pt idx="10">
                  <c:v>-36.400365360000002</c:v>
                </c:pt>
                <c:pt idx="11">
                  <c:v>-53.816826390000003</c:v>
                </c:pt>
                <c:pt idx="12">
                  <c:v>-66.724860059999997</c:v>
                </c:pt>
                <c:pt idx="13">
                  <c:v>-76.507766509999996</c:v>
                </c:pt>
                <c:pt idx="15">
                  <c:v>-0.13872167799999999</c:v>
                </c:pt>
                <c:pt idx="16">
                  <c:v>18.25363102</c:v>
                </c:pt>
                <c:pt idx="18">
                  <c:v>38.731324649999998</c:v>
                </c:pt>
                <c:pt idx="19">
                  <c:v>24.843614370000001</c:v>
                </c:pt>
                <c:pt idx="20">
                  <c:v>26.297640850000001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BF28-A946-BA04-2ACB454C46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48731571"/>
        <c:axId val="598859550"/>
      </c:barChart>
      <c:catAx>
        <c:axId val="3487315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1200" b="0" i="0">
                <a:solidFill>
                  <a:srgbClr val="000000"/>
                </a:solidFill>
                <a:latin typeface="PT Sans"/>
              </a:defRPr>
            </a:pPr>
            <a:endParaRPr lang="en-US"/>
          </a:p>
        </c:txPr>
        <c:crossAx val="598859550"/>
        <c:crosses val="autoZero"/>
        <c:auto val="1"/>
        <c:lblAlgn val="ctr"/>
        <c:lblOffset val="100"/>
        <c:noMultiLvlLbl val="1"/>
      </c:catAx>
      <c:valAx>
        <c:axId val="59885955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2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2000" b="0" i="0">
                    <a:solidFill>
                      <a:srgbClr val="000000"/>
                    </a:solidFill>
                    <a:latin typeface="+mn-lt"/>
                  </a:rPr>
                  <a:t>% NDFA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48731571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1600" b="0" i="0">
              <a:solidFill>
                <a:srgbClr val="1A1A1A"/>
              </a:solidFill>
              <a:latin typeface="PT Sans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2000" b="0" i="0">
                <a:solidFill>
                  <a:srgbClr val="757575"/>
                </a:solidFill>
                <a:latin typeface="PT Sans"/>
              </a:defRPr>
            </a:pPr>
            <a:r>
              <a:rPr lang="en-US" sz="2000" b="0" i="0">
                <a:solidFill>
                  <a:srgbClr val="757575"/>
                </a:solidFill>
                <a:latin typeface="PT Sans"/>
              </a:rPr>
              <a:t>Height Variation among Zea Subpopulations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T1 = 9 weeks</c:v>
          </c:tx>
          <c:spPr>
            <a:solidFill>
              <a:srgbClr val="5B9BD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'Zea-Trial-1_Metadata_Avg'!$B$2:$B$27</c:f>
              <c:strCache>
                <c:ptCount val="26"/>
                <c:pt idx="0">
                  <c:v>* Jaltepec de Candoyoc</c:v>
                </c:pt>
                <c:pt idx="1">
                  <c:v>* Moctum</c:v>
                </c:pt>
                <c:pt idx="2">
                  <c:v>* San Ildefonso Villa Alta</c:v>
                </c:pt>
                <c:pt idx="3">
                  <c:v>** Santa Maria Tiltepec</c:v>
                </c:pt>
                <c:pt idx="4">
                  <c:v>** Totontepec - Vidal</c:v>
                </c:pt>
                <c:pt idx="5">
                  <c:v>* Santa Maria Temaxcalapa</c:v>
                </c:pt>
                <c:pt idx="6">
                  <c:v>* San Juan Comaltepec</c:v>
                </c:pt>
                <c:pt idx="7">
                  <c:v>** Totontepec - Vicente</c:v>
                </c:pt>
                <c:pt idx="8">
                  <c:v>* San Cristobal Lachirioag</c:v>
                </c:pt>
                <c:pt idx="9">
                  <c:v>* Santiago Choapam</c:v>
                </c:pt>
                <c:pt idx="10">
                  <c:v>** San Miguel Metepec</c:v>
                </c:pt>
                <c:pt idx="11">
                  <c:v>* San Jose Chinantequilla</c:v>
                </c:pt>
                <c:pt idx="12">
                  <c:v>** Totontepec - Carmita</c:v>
                </c:pt>
                <c:pt idx="13">
                  <c:v>* Santiago Tepitongo</c:v>
                </c:pt>
                <c:pt idx="15">
                  <c:v>* Jala, Nayarit</c:v>
                </c:pt>
                <c:pt idx="16">
                  <c:v>** Venustiano Carranza, DG</c:v>
                </c:pt>
                <c:pt idx="18">
                  <c:v>Teosinte - Mexicana</c:v>
                </c:pt>
                <c:pt idx="19">
                  <c:v>Teosinte - Diploperennis</c:v>
                </c:pt>
                <c:pt idx="20">
                  <c:v>Teosinte - Parviglumis</c:v>
                </c:pt>
                <c:pt idx="22">
                  <c:v>Mo17</c:v>
                </c:pt>
                <c:pt idx="23">
                  <c:v>B73 x Mo17</c:v>
                </c:pt>
                <c:pt idx="24">
                  <c:v>B73</c:v>
                </c:pt>
                <c:pt idx="25">
                  <c:v>Hickory King</c:v>
                </c:pt>
              </c:strCache>
            </c:strRef>
          </c:cat>
          <c:val>
            <c:numRef>
              <c:f>'Zea-Trial-1_Metadata_Avg'!$S$2:$S$27</c:f>
              <c:numCache>
                <c:formatCode>General</c:formatCode>
                <c:ptCount val="26"/>
                <c:pt idx="0">
                  <c:v>111.375</c:v>
                </c:pt>
                <c:pt idx="1">
                  <c:v>104</c:v>
                </c:pt>
                <c:pt idx="2">
                  <c:v>95.238666670000001</c:v>
                </c:pt>
                <c:pt idx="3">
                  <c:v>143.14266670000001</c:v>
                </c:pt>
                <c:pt idx="4">
                  <c:v>122.0714286</c:v>
                </c:pt>
                <c:pt idx="5">
                  <c:v>134.7142857</c:v>
                </c:pt>
                <c:pt idx="6">
                  <c:v>139.7123077</c:v>
                </c:pt>
                <c:pt idx="7">
                  <c:v>145.1333333</c:v>
                </c:pt>
                <c:pt idx="8">
                  <c:v>129.7647059</c:v>
                </c:pt>
                <c:pt idx="9">
                  <c:v>138.125</c:v>
                </c:pt>
                <c:pt idx="10">
                  <c:v>96.053571430000005</c:v>
                </c:pt>
                <c:pt idx="11">
                  <c:v>109.75</c:v>
                </c:pt>
                <c:pt idx="12">
                  <c:v>137.4</c:v>
                </c:pt>
                <c:pt idx="13">
                  <c:v>119.0666667</c:v>
                </c:pt>
                <c:pt idx="15">
                  <c:v>119.95</c:v>
                </c:pt>
                <c:pt idx="16">
                  <c:v>69.458333330000002</c:v>
                </c:pt>
                <c:pt idx="18">
                  <c:v>119.3235294</c:v>
                </c:pt>
                <c:pt idx="19">
                  <c:v>56.864285709999997</c:v>
                </c:pt>
                <c:pt idx="20">
                  <c:v>70.252083330000005</c:v>
                </c:pt>
                <c:pt idx="22">
                  <c:v>52.803571429999998</c:v>
                </c:pt>
                <c:pt idx="23">
                  <c:v>62.48808511</c:v>
                </c:pt>
                <c:pt idx="24">
                  <c:v>47.803571429999998</c:v>
                </c:pt>
                <c:pt idx="25">
                  <c:v>63.266666669999999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BF97-3D4E-81C2-9A8DE3812C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84934087"/>
        <c:axId val="2137670571"/>
      </c:barChart>
      <c:catAx>
        <c:axId val="1884934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1200" b="0" i="0">
                <a:solidFill>
                  <a:srgbClr val="000000"/>
                </a:solidFill>
                <a:latin typeface="PT Sans"/>
              </a:defRPr>
            </a:pPr>
            <a:endParaRPr lang="en-US"/>
          </a:p>
        </c:txPr>
        <c:crossAx val="2137670571"/>
        <c:crosses val="autoZero"/>
        <c:auto val="1"/>
        <c:lblAlgn val="ctr"/>
        <c:lblOffset val="100"/>
        <c:noMultiLvlLbl val="1"/>
      </c:catAx>
      <c:valAx>
        <c:axId val="213767057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2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2000" b="0" i="0">
                    <a:solidFill>
                      <a:srgbClr val="000000"/>
                    </a:solidFill>
                    <a:latin typeface="+mn-lt"/>
                  </a:rPr>
                  <a:t>Height (Inches)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84934087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2000" b="0" i="0">
                <a:solidFill>
                  <a:srgbClr val="757575"/>
                </a:solidFill>
                <a:latin typeface="PT Sans"/>
              </a:defRPr>
            </a:pPr>
            <a:r>
              <a:rPr lang="en-US" sz="2000" b="0" i="0">
                <a:solidFill>
                  <a:srgbClr val="757575"/>
                </a:solidFill>
                <a:latin typeface="PT Sans"/>
              </a:rPr>
              <a:t>Aerial Root Node Variation for Zea Subpopulations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T1 = 9 weeks</c:v>
          </c:tx>
          <c:spPr>
            <a:solidFill>
              <a:srgbClr val="5B9BD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'Zea-Trial-1_Metadata_Avg'!$B$2:$B$27</c:f>
              <c:strCache>
                <c:ptCount val="26"/>
                <c:pt idx="0">
                  <c:v>* Jaltepec de Candoyoc</c:v>
                </c:pt>
                <c:pt idx="1">
                  <c:v>* Moctum</c:v>
                </c:pt>
                <c:pt idx="2">
                  <c:v>* San Ildefonso Villa Alta</c:v>
                </c:pt>
                <c:pt idx="3">
                  <c:v>** Santa Maria Tiltepec</c:v>
                </c:pt>
                <c:pt idx="4">
                  <c:v>** Totontepec - Vidal</c:v>
                </c:pt>
                <c:pt idx="5">
                  <c:v>* Santa Maria Temaxcalapa</c:v>
                </c:pt>
                <c:pt idx="6">
                  <c:v>* San Juan Comaltepec</c:v>
                </c:pt>
                <c:pt idx="7">
                  <c:v>** Totontepec - Vicente</c:v>
                </c:pt>
                <c:pt idx="8">
                  <c:v>* San Cristobal Lachirioag</c:v>
                </c:pt>
                <c:pt idx="9">
                  <c:v>* Santiago Choapam</c:v>
                </c:pt>
                <c:pt idx="10">
                  <c:v>** San Miguel Metepec</c:v>
                </c:pt>
                <c:pt idx="11">
                  <c:v>* San Jose Chinantequilla</c:v>
                </c:pt>
                <c:pt idx="12">
                  <c:v>** Totontepec - Carmita</c:v>
                </c:pt>
                <c:pt idx="13">
                  <c:v>* Santiago Tepitongo</c:v>
                </c:pt>
                <c:pt idx="15">
                  <c:v>* Jala, Nayarit</c:v>
                </c:pt>
                <c:pt idx="16">
                  <c:v>** Venustiano Carranza, DG</c:v>
                </c:pt>
                <c:pt idx="18">
                  <c:v>Teosinte - Mexicana</c:v>
                </c:pt>
                <c:pt idx="19">
                  <c:v>Teosinte - Diploperennis</c:v>
                </c:pt>
                <c:pt idx="20">
                  <c:v>Teosinte - Parviglumis</c:v>
                </c:pt>
                <c:pt idx="22">
                  <c:v>Mo17</c:v>
                </c:pt>
                <c:pt idx="23">
                  <c:v>B73 x Mo17</c:v>
                </c:pt>
                <c:pt idx="24">
                  <c:v>B73</c:v>
                </c:pt>
                <c:pt idx="25">
                  <c:v>Hickory King</c:v>
                </c:pt>
              </c:strCache>
            </c:strRef>
          </c:cat>
          <c:val>
            <c:numRef>
              <c:f>'Zea-Trial-1_Metadata_Avg'!$AE$2:$AE$27</c:f>
              <c:numCache>
                <c:formatCode>General</c:formatCode>
                <c:ptCount val="26"/>
                <c:pt idx="0">
                  <c:v>3.5</c:v>
                </c:pt>
                <c:pt idx="1">
                  <c:v>4</c:v>
                </c:pt>
                <c:pt idx="2">
                  <c:v>4.8666666669999996</c:v>
                </c:pt>
                <c:pt idx="3">
                  <c:v>5.5333333329999999</c:v>
                </c:pt>
                <c:pt idx="4">
                  <c:v>3.8571428569999999</c:v>
                </c:pt>
                <c:pt idx="5">
                  <c:v>3.8571428569999999</c:v>
                </c:pt>
                <c:pt idx="6">
                  <c:v>4.153846154</c:v>
                </c:pt>
                <c:pt idx="7">
                  <c:v>4.266666667</c:v>
                </c:pt>
                <c:pt idx="8">
                  <c:v>3.411764706</c:v>
                </c:pt>
                <c:pt idx="9">
                  <c:v>5</c:v>
                </c:pt>
                <c:pt idx="10">
                  <c:v>3.2142857139999998</c:v>
                </c:pt>
                <c:pt idx="11">
                  <c:v>3.692307692</c:v>
                </c:pt>
                <c:pt idx="12">
                  <c:v>5.2</c:v>
                </c:pt>
                <c:pt idx="13">
                  <c:v>3.2</c:v>
                </c:pt>
                <c:pt idx="15">
                  <c:v>2.4</c:v>
                </c:pt>
                <c:pt idx="16">
                  <c:v>1.1666666670000001</c:v>
                </c:pt>
                <c:pt idx="18">
                  <c:v>3.4705882350000001</c:v>
                </c:pt>
                <c:pt idx="19">
                  <c:v>5.2857142860000002</c:v>
                </c:pt>
                <c:pt idx="20">
                  <c:v>2.0416666669999999</c:v>
                </c:pt>
                <c:pt idx="22">
                  <c:v>1.1428571430000001</c:v>
                </c:pt>
                <c:pt idx="23">
                  <c:v>1.021052632</c:v>
                </c:pt>
                <c:pt idx="24">
                  <c:v>1.8571428569999999</c:v>
                </c:pt>
                <c:pt idx="25">
                  <c:v>0.86666666699999995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A327-CA40-98F0-A3EEE8ED71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2071654"/>
        <c:axId val="1064685963"/>
      </c:barChart>
      <c:catAx>
        <c:axId val="720716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1200" b="0" i="0">
                <a:solidFill>
                  <a:srgbClr val="000000"/>
                </a:solidFill>
                <a:latin typeface="PT Sans"/>
              </a:defRPr>
            </a:pPr>
            <a:endParaRPr lang="en-US"/>
          </a:p>
        </c:txPr>
        <c:crossAx val="1064685963"/>
        <c:crosses val="autoZero"/>
        <c:auto val="1"/>
        <c:lblAlgn val="ctr"/>
        <c:lblOffset val="100"/>
        <c:noMultiLvlLbl val="1"/>
      </c:catAx>
      <c:valAx>
        <c:axId val="10646859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2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2000" b="0" i="0">
                    <a:solidFill>
                      <a:srgbClr val="000000"/>
                    </a:solidFill>
                    <a:latin typeface="+mn-lt"/>
                  </a:rPr>
                  <a:t>Aerial Root Node Count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2071654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2000" b="0" i="0">
                <a:solidFill>
                  <a:srgbClr val="757575"/>
                </a:solidFill>
                <a:latin typeface="PT Sans"/>
              </a:defRPr>
            </a:pPr>
            <a:r>
              <a:rPr lang="en-US" sz="2000" b="0" i="0">
                <a:solidFill>
                  <a:srgbClr val="757575"/>
                </a:solidFill>
                <a:latin typeface="PT Sans"/>
              </a:rPr>
              <a:t>Time to Maturity for Zea Subpopulations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T1 = 9 weeks</c:v>
          </c:tx>
          <c:spPr>
            <a:solidFill>
              <a:srgbClr val="5B9BD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'Zea-Trial-1_Metadata_Avg'!$B$2:$B$27</c:f>
              <c:strCache>
                <c:ptCount val="26"/>
                <c:pt idx="0">
                  <c:v>* Jaltepec de Candoyoc</c:v>
                </c:pt>
                <c:pt idx="1">
                  <c:v>* Moctum</c:v>
                </c:pt>
                <c:pt idx="2">
                  <c:v>* San Ildefonso Villa Alta</c:v>
                </c:pt>
                <c:pt idx="3">
                  <c:v>** Santa Maria Tiltepec</c:v>
                </c:pt>
                <c:pt idx="4">
                  <c:v>** Totontepec - Vidal</c:v>
                </c:pt>
                <c:pt idx="5">
                  <c:v>* Santa Maria Temaxcalapa</c:v>
                </c:pt>
                <c:pt idx="6">
                  <c:v>* San Juan Comaltepec</c:v>
                </c:pt>
                <c:pt idx="7">
                  <c:v>** Totontepec - Vicente</c:v>
                </c:pt>
                <c:pt idx="8">
                  <c:v>* San Cristobal Lachirioag</c:v>
                </c:pt>
                <c:pt idx="9">
                  <c:v>* Santiago Choapam</c:v>
                </c:pt>
                <c:pt idx="10">
                  <c:v>** San Miguel Metepec</c:v>
                </c:pt>
                <c:pt idx="11">
                  <c:v>* San Jose Chinantequilla</c:v>
                </c:pt>
                <c:pt idx="12">
                  <c:v>** Totontepec - Carmita</c:v>
                </c:pt>
                <c:pt idx="13">
                  <c:v>* Santiago Tepitongo</c:v>
                </c:pt>
                <c:pt idx="15">
                  <c:v>* Jala, Nayarit</c:v>
                </c:pt>
                <c:pt idx="16">
                  <c:v>** Venustiano Carranza, DG</c:v>
                </c:pt>
                <c:pt idx="18">
                  <c:v>Teosinte - Mexicana</c:v>
                </c:pt>
                <c:pt idx="19">
                  <c:v>Teosinte - Diploperennis</c:v>
                </c:pt>
                <c:pt idx="20">
                  <c:v>Teosinte - Parviglumis</c:v>
                </c:pt>
                <c:pt idx="22">
                  <c:v>Mo17</c:v>
                </c:pt>
                <c:pt idx="23">
                  <c:v>B73 x Mo17</c:v>
                </c:pt>
                <c:pt idx="24">
                  <c:v>B73</c:v>
                </c:pt>
                <c:pt idx="25">
                  <c:v>Hickory King</c:v>
                </c:pt>
              </c:strCache>
            </c:strRef>
          </c:cat>
          <c:val>
            <c:numRef>
              <c:f>'Zea-Trial-1_Metadata_Avg'!$AM$2:$AM$27</c:f>
              <c:numCache>
                <c:formatCode>General</c:formatCode>
                <c:ptCount val="26"/>
                <c:pt idx="0">
                  <c:v>95</c:v>
                </c:pt>
                <c:pt idx="1">
                  <c:v>95</c:v>
                </c:pt>
                <c:pt idx="2">
                  <c:v>123.4666667</c:v>
                </c:pt>
                <c:pt idx="3">
                  <c:v>117.4</c:v>
                </c:pt>
                <c:pt idx="4">
                  <c:v>116.7</c:v>
                </c:pt>
                <c:pt idx="5">
                  <c:v>105.08</c:v>
                </c:pt>
                <c:pt idx="6">
                  <c:v>114.0909091</c:v>
                </c:pt>
                <c:pt idx="7">
                  <c:v>116</c:v>
                </c:pt>
                <c:pt idx="8">
                  <c:v>104.33333330000001</c:v>
                </c:pt>
                <c:pt idx="9">
                  <c:v>102</c:v>
                </c:pt>
                <c:pt idx="10">
                  <c:v>103.5217391</c:v>
                </c:pt>
                <c:pt idx="11">
                  <c:v>107.0909091</c:v>
                </c:pt>
                <c:pt idx="12">
                  <c:v>117.4</c:v>
                </c:pt>
                <c:pt idx="13">
                  <c:v>101.72</c:v>
                </c:pt>
                <c:pt idx="15">
                  <c:v>102</c:v>
                </c:pt>
                <c:pt idx="16">
                  <c:v>74</c:v>
                </c:pt>
                <c:pt idx="18">
                  <c:v>114.70370370000001</c:v>
                </c:pt>
                <c:pt idx="19">
                  <c:v>130</c:v>
                </c:pt>
                <c:pt idx="20">
                  <c:v>130</c:v>
                </c:pt>
                <c:pt idx="22">
                  <c:v>74.636363639999999</c:v>
                </c:pt>
                <c:pt idx="23">
                  <c:v>74</c:v>
                </c:pt>
                <c:pt idx="24">
                  <c:v>75.61538462</c:v>
                </c:pt>
                <c:pt idx="25">
                  <c:v>74.75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E784-434D-B0F2-3A8D6CCEC8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90111049"/>
        <c:axId val="2078619369"/>
      </c:barChart>
      <c:catAx>
        <c:axId val="19901110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1200" b="0" i="0">
                <a:solidFill>
                  <a:srgbClr val="000000"/>
                </a:solidFill>
                <a:latin typeface="PT Sans"/>
              </a:defRPr>
            </a:pPr>
            <a:endParaRPr lang="en-US"/>
          </a:p>
        </c:txPr>
        <c:crossAx val="2078619369"/>
        <c:crosses val="autoZero"/>
        <c:auto val="1"/>
        <c:lblAlgn val="ctr"/>
        <c:lblOffset val="100"/>
        <c:noMultiLvlLbl val="1"/>
      </c:catAx>
      <c:valAx>
        <c:axId val="207861936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2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2000" b="0" i="0">
                    <a:solidFill>
                      <a:srgbClr val="000000"/>
                    </a:solidFill>
                    <a:latin typeface="+mn-lt"/>
                  </a:rPr>
                  <a:t>Days to Tassel Emergence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90111049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2000" b="0" i="0">
                <a:solidFill>
                  <a:srgbClr val="757575"/>
                </a:solidFill>
                <a:latin typeface="PT Sans"/>
              </a:defRPr>
            </a:pPr>
            <a:r>
              <a:rPr lang="en-US" sz="2000" b="0" i="0">
                <a:solidFill>
                  <a:srgbClr val="757575"/>
                </a:solidFill>
                <a:latin typeface="PT Sans"/>
              </a:rPr>
              <a:t>Height Variation among Zea Subpopulations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T1 = 9 weeks</c:v>
          </c:tx>
          <c:spPr>
            <a:solidFill>
              <a:srgbClr val="5B9BD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'Zea-Trial-1_Metadata_Avg'!$B$2:$B$27</c:f>
              <c:strCache>
                <c:ptCount val="26"/>
                <c:pt idx="0">
                  <c:v>* Jaltepec de Candoyoc</c:v>
                </c:pt>
                <c:pt idx="1">
                  <c:v>* Moctum</c:v>
                </c:pt>
                <c:pt idx="2">
                  <c:v>* San Ildefonso Villa Alta</c:v>
                </c:pt>
                <c:pt idx="3">
                  <c:v>** Santa Maria Tiltepec</c:v>
                </c:pt>
                <c:pt idx="4">
                  <c:v>** Totontepec - Vidal</c:v>
                </c:pt>
                <c:pt idx="5">
                  <c:v>* Santa Maria Temaxcalapa</c:v>
                </c:pt>
                <c:pt idx="6">
                  <c:v>* San Juan Comaltepec</c:v>
                </c:pt>
                <c:pt idx="7">
                  <c:v>** Totontepec - Vicente</c:v>
                </c:pt>
                <c:pt idx="8">
                  <c:v>* San Cristobal Lachirioag</c:v>
                </c:pt>
                <c:pt idx="9">
                  <c:v>* Santiago Choapam</c:v>
                </c:pt>
                <c:pt idx="10">
                  <c:v>** San Miguel Metepec</c:v>
                </c:pt>
                <c:pt idx="11">
                  <c:v>* San Jose Chinantequilla</c:v>
                </c:pt>
                <c:pt idx="12">
                  <c:v>** Totontepec - Carmita</c:v>
                </c:pt>
                <c:pt idx="13">
                  <c:v>* Santiago Tepitongo</c:v>
                </c:pt>
                <c:pt idx="15">
                  <c:v>* Jala, Nayarit</c:v>
                </c:pt>
                <c:pt idx="16">
                  <c:v>** Venustiano Carranza, DG</c:v>
                </c:pt>
                <c:pt idx="18">
                  <c:v>Teosinte - Mexicana</c:v>
                </c:pt>
                <c:pt idx="19">
                  <c:v>Teosinte - Diploperennis</c:v>
                </c:pt>
                <c:pt idx="20">
                  <c:v>Teosinte - Parviglumis</c:v>
                </c:pt>
                <c:pt idx="22">
                  <c:v>Mo17</c:v>
                </c:pt>
                <c:pt idx="23">
                  <c:v>B73 x Mo17</c:v>
                </c:pt>
                <c:pt idx="24">
                  <c:v>B73</c:v>
                </c:pt>
                <c:pt idx="25">
                  <c:v>Hickory King</c:v>
                </c:pt>
              </c:strCache>
            </c:strRef>
          </c:cat>
          <c:val>
            <c:numRef>
              <c:f>'Zea-Trial-1_Metadata_Avg'!$AB$63:$AB$89</c:f>
              <c:numCache>
                <c:formatCode>General</c:formatCode>
                <c:ptCount val="27"/>
                <c:pt idx="0">
                  <c:v>282.89249999999998</c:v>
                </c:pt>
                <c:pt idx="1">
                  <c:v>264.16000000000003</c:v>
                </c:pt>
                <c:pt idx="2">
                  <c:v>241.9062133418</c:v>
                </c:pt>
                <c:pt idx="3">
                  <c:v>363.58237341800003</c:v>
                </c:pt>
                <c:pt idx="4">
                  <c:v>310.06142864399999</c:v>
                </c:pt>
                <c:pt idx="5">
                  <c:v>342.17428567799999</c:v>
                </c:pt>
                <c:pt idx="6">
                  <c:v>354.86926155800001</c:v>
                </c:pt>
                <c:pt idx="7">
                  <c:v>368.63866658200004</c:v>
                </c:pt>
                <c:pt idx="8">
                  <c:v>329.60235298599997</c:v>
                </c:pt>
                <c:pt idx="9">
                  <c:v>350.83749999999998</c:v>
                </c:pt>
                <c:pt idx="10">
                  <c:v>243.97607143220003</c:v>
                </c:pt>
                <c:pt idx="11">
                  <c:v>278.76499999999999</c:v>
                </c:pt>
                <c:pt idx="12">
                  <c:v>348.99600000000004</c:v>
                </c:pt>
                <c:pt idx="13">
                  <c:v>302.429333418</c:v>
                </c:pt>
                <c:pt idx="15">
                  <c:v>304.673</c:v>
                </c:pt>
                <c:pt idx="16">
                  <c:v>176.42416665819999</c:v>
                </c:pt>
                <c:pt idx="18">
                  <c:v>303.08176467599998</c:v>
                </c:pt>
                <c:pt idx="19">
                  <c:v>144.43528570339998</c:v>
                </c:pt>
                <c:pt idx="20">
                  <c:v>178.44029165820001</c:v>
                </c:pt>
                <c:pt idx="22">
                  <c:v>134.12107143219998</c:v>
                </c:pt>
                <c:pt idx="23">
                  <c:v>121.42107143219999</c:v>
                </c:pt>
                <c:pt idx="24">
                  <c:v>160.6973333418</c:v>
                </c:pt>
                <c:pt idx="26">
                  <c:v>158.7197361794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756D-084A-8AF0-89DDC21A64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52419670"/>
        <c:axId val="1883003799"/>
      </c:barChart>
      <c:catAx>
        <c:axId val="2524196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1200" b="0" i="0">
                <a:solidFill>
                  <a:srgbClr val="000000"/>
                </a:solidFill>
                <a:latin typeface="PT Sans"/>
              </a:defRPr>
            </a:pPr>
            <a:endParaRPr lang="en-US"/>
          </a:p>
        </c:txPr>
        <c:crossAx val="1883003799"/>
        <c:crosses val="autoZero"/>
        <c:auto val="1"/>
        <c:lblAlgn val="ctr"/>
        <c:lblOffset val="100"/>
        <c:noMultiLvlLbl val="1"/>
      </c:catAx>
      <c:valAx>
        <c:axId val="188300379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2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2000" b="0" i="0">
                    <a:solidFill>
                      <a:srgbClr val="000000"/>
                    </a:solidFill>
                    <a:latin typeface="+mn-lt"/>
                  </a:rPr>
                  <a:t>Height (cm)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52419670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2000" b="0" i="0">
                <a:solidFill>
                  <a:srgbClr val="757575"/>
                </a:solidFill>
                <a:latin typeface="PT Sans"/>
              </a:defRPr>
            </a:pPr>
            <a:r>
              <a:rPr lang="en-US" sz="2000" b="0" i="0">
                <a:solidFill>
                  <a:srgbClr val="757575"/>
                </a:solidFill>
                <a:latin typeface="PT Sans"/>
              </a:rPr>
              <a:t>Time to Pollen Shed for Zea Subpopulations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T1 = 9 weeks</c:v>
          </c:tx>
          <c:spPr>
            <a:solidFill>
              <a:srgbClr val="5B9BD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'Zea-Trial-1_Metadata_Avg'!$B$2:$B$27</c:f>
              <c:strCache>
                <c:ptCount val="26"/>
                <c:pt idx="0">
                  <c:v>* Jaltepec de Candoyoc</c:v>
                </c:pt>
                <c:pt idx="1">
                  <c:v>* Moctum</c:v>
                </c:pt>
                <c:pt idx="2">
                  <c:v>* San Ildefonso Villa Alta</c:v>
                </c:pt>
                <c:pt idx="3">
                  <c:v>** Santa Maria Tiltepec</c:v>
                </c:pt>
                <c:pt idx="4">
                  <c:v>** Totontepec - Vidal</c:v>
                </c:pt>
                <c:pt idx="5">
                  <c:v>* Santa Maria Temaxcalapa</c:v>
                </c:pt>
                <c:pt idx="6">
                  <c:v>* San Juan Comaltepec</c:v>
                </c:pt>
                <c:pt idx="7">
                  <c:v>** Totontepec - Vicente</c:v>
                </c:pt>
                <c:pt idx="8">
                  <c:v>* San Cristobal Lachirioag</c:v>
                </c:pt>
                <c:pt idx="9">
                  <c:v>* Santiago Choapam</c:v>
                </c:pt>
                <c:pt idx="10">
                  <c:v>** San Miguel Metepec</c:v>
                </c:pt>
                <c:pt idx="11">
                  <c:v>* San Jose Chinantequilla</c:v>
                </c:pt>
                <c:pt idx="12">
                  <c:v>** Totontepec - Carmita</c:v>
                </c:pt>
                <c:pt idx="13">
                  <c:v>* Santiago Tepitongo</c:v>
                </c:pt>
                <c:pt idx="15">
                  <c:v>* Jala, Nayarit</c:v>
                </c:pt>
                <c:pt idx="16">
                  <c:v>** Venustiano Carranza, DG</c:v>
                </c:pt>
                <c:pt idx="18">
                  <c:v>Teosinte - Mexicana</c:v>
                </c:pt>
                <c:pt idx="19">
                  <c:v>Teosinte - Diploperennis</c:v>
                </c:pt>
                <c:pt idx="20">
                  <c:v>Teosinte - Parviglumis</c:v>
                </c:pt>
                <c:pt idx="22">
                  <c:v>Mo17</c:v>
                </c:pt>
                <c:pt idx="23">
                  <c:v>B73 x Mo17</c:v>
                </c:pt>
                <c:pt idx="24">
                  <c:v>B73</c:v>
                </c:pt>
                <c:pt idx="25">
                  <c:v>Hickory King</c:v>
                </c:pt>
              </c:strCache>
            </c:strRef>
          </c:cat>
          <c:val>
            <c:numRef>
              <c:f>'Zea-Trial-1_Metadata_Avg'!$AQ$2:$AQ$27</c:f>
              <c:numCache>
                <c:formatCode>General</c:formatCode>
                <c:ptCount val="26"/>
                <c:pt idx="0">
                  <c:v>102</c:v>
                </c:pt>
                <c:pt idx="1">
                  <c:v>102</c:v>
                </c:pt>
                <c:pt idx="2">
                  <c:v>129.2222222</c:v>
                </c:pt>
                <c:pt idx="3">
                  <c:v>121.88</c:v>
                </c:pt>
                <c:pt idx="4">
                  <c:v>121.8947368</c:v>
                </c:pt>
                <c:pt idx="5">
                  <c:v>111.4230769</c:v>
                </c:pt>
                <c:pt idx="6">
                  <c:v>120.1363636</c:v>
                </c:pt>
                <c:pt idx="7">
                  <c:v>121.7826087</c:v>
                </c:pt>
                <c:pt idx="8">
                  <c:v>105.79166669999999</c:v>
                </c:pt>
                <c:pt idx="9">
                  <c:v>116</c:v>
                </c:pt>
                <c:pt idx="10">
                  <c:v>108.0869565</c:v>
                </c:pt>
                <c:pt idx="11">
                  <c:v>111.8636364</c:v>
                </c:pt>
                <c:pt idx="12">
                  <c:v>122.3</c:v>
                </c:pt>
                <c:pt idx="13">
                  <c:v>104.52</c:v>
                </c:pt>
                <c:pt idx="15">
                  <c:v>108.16</c:v>
                </c:pt>
                <c:pt idx="16">
                  <c:v>79.833333330000002</c:v>
                </c:pt>
                <c:pt idx="18">
                  <c:v>124.29629629999999</c:v>
                </c:pt>
                <c:pt idx="19">
                  <c:v>0</c:v>
                </c:pt>
                <c:pt idx="20">
                  <c:v>0</c:v>
                </c:pt>
                <c:pt idx="22">
                  <c:v>80.045454550000002</c:v>
                </c:pt>
                <c:pt idx="23">
                  <c:v>79.535947710000002</c:v>
                </c:pt>
                <c:pt idx="24">
                  <c:v>82.61538462</c:v>
                </c:pt>
                <c:pt idx="25">
                  <c:v>82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F65E-154C-88BA-C37FDD4839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90930026"/>
        <c:axId val="690496056"/>
      </c:barChart>
      <c:catAx>
        <c:axId val="14909300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1200" b="0" i="0">
                <a:solidFill>
                  <a:srgbClr val="000000"/>
                </a:solidFill>
                <a:latin typeface="PT Sans"/>
              </a:defRPr>
            </a:pPr>
            <a:endParaRPr lang="en-US"/>
          </a:p>
        </c:txPr>
        <c:crossAx val="690496056"/>
        <c:crosses val="autoZero"/>
        <c:auto val="1"/>
        <c:lblAlgn val="ctr"/>
        <c:lblOffset val="100"/>
        <c:noMultiLvlLbl val="1"/>
      </c:catAx>
      <c:valAx>
        <c:axId val="69049605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2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2000" b="0" i="0">
                    <a:solidFill>
                      <a:srgbClr val="000000"/>
                    </a:solidFill>
                    <a:latin typeface="+mn-lt"/>
                  </a:rPr>
                  <a:t>Days to Pollen Shed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90930026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2000" b="1" i="0">
                <a:solidFill>
                  <a:srgbClr val="000000"/>
                </a:solidFill>
                <a:latin typeface="Arial" panose="020B0604020202020204" pitchFamily="34" charset="0"/>
                <a:cs typeface="Arial" panose="020B0604020202020204" pitchFamily="34" charset="0"/>
              </a:defRPr>
            </a:pPr>
            <a:r>
              <a:rPr lang="en-US" sz="2000" b="1" i="0">
                <a:solidFill>
                  <a:srgbClr val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d15N Variation among Zea Subpopulations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T1 = 9 weeks</c:v>
          </c:tx>
          <c:spPr>
            <a:solidFill>
              <a:srgbClr val="F1C232"/>
            </a:solidFill>
            <a:ln w="19050" cmpd="sng">
              <a:solidFill>
                <a:srgbClr val="000000">
                  <a:alpha val="100000"/>
                </a:srgbClr>
              </a:solidFill>
            </a:ln>
          </c:spPr>
          <c:invertIfNegative val="0"/>
          <c:errBars>
            <c:errBarType val="both"/>
            <c:errValType val="cust"/>
            <c:noEndCap val="0"/>
            <c:plus>
              <c:numRef>
                <c:f>'Zea-Trial-1_Metadata_Avg'!$F$126:$F$157</c:f>
                <c:numCache>
                  <c:formatCode>General</c:formatCode>
                  <c:ptCount val="32"/>
                  <c:pt idx="0">
                    <c:v>0.31682417899999998</c:v>
                  </c:pt>
                  <c:pt idx="1">
                    <c:v>0</c:v>
                  </c:pt>
                  <c:pt idx="2">
                    <c:v>0.311852772</c:v>
                  </c:pt>
                  <c:pt idx="3">
                    <c:v>0.22677154999999999</c:v>
                  </c:pt>
                  <c:pt idx="4">
                    <c:v>0.47087757600000002</c:v>
                  </c:pt>
                  <c:pt idx="5">
                    <c:v>0.43573595300000001</c:v>
                  </c:pt>
                  <c:pt idx="6">
                    <c:v>0.39156633299999999</c:v>
                  </c:pt>
                  <c:pt idx="7">
                    <c:v>2.3735642860000001</c:v>
                  </c:pt>
                  <c:pt idx="8">
                    <c:v>0.75762844500000004</c:v>
                  </c:pt>
                  <c:pt idx="9">
                    <c:v>0.51303613199999998</c:v>
                  </c:pt>
                  <c:pt idx="11">
                    <c:v>0.233702306</c:v>
                  </c:pt>
                  <c:pt idx="12">
                    <c:v>0.30749869600000002</c:v>
                  </c:pt>
                  <c:pt idx="13">
                    <c:v>0.56457489999999999</c:v>
                  </c:pt>
                  <c:pt idx="14">
                    <c:v>0.34645371699999999</c:v>
                  </c:pt>
                  <c:pt idx="15">
                    <c:v>0.33427644899999998</c:v>
                  </c:pt>
                  <c:pt idx="16">
                    <c:v>0.36922014600000003</c:v>
                  </c:pt>
                  <c:pt idx="18">
                    <c:v>0.33580397519017724</c:v>
                  </c:pt>
                  <c:pt idx="19">
                    <c:v>0.3536864586266163</c:v>
                  </c:pt>
                  <c:pt idx="20">
                    <c:v>0.22</c:v>
                  </c:pt>
                  <c:pt idx="22">
                    <c:v>0.197214105</c:v>
                  </c:pt>
                  <c:pt idx="23">
                    <c:v>0.372456016</c:v>
                  </c:pt>
                  <c:pt idx="24">
                    <c:v>0.227232034</c:v>
                  </c:pt>
                  <c:pt idx="25">
                    <c:v>0.3566227043475555</c:v>
                  </c:pt>
                  <c:pt idx="26">
                    <c:v>0.22603703298737238</c:v>
                  </c:pt>
                  <c:pt idx="27">
                    <c:v>0.5685409236672474</c:v>
                  </c:pt>
                  <c:pt idx="28">
                    <c:v>0.50873823116060057</c:v>
                  </c:pt>
                  <c:pt idx="29">
                    <c:v>0.2426366075618577</c:v>
                  </c:pt>
                  <c:pt idx="30">
                    <c:v>0.17928086405878171</c:v>
                  </c:pt>
                  <c:pt idx="31">
                    <c:v>0.29448424699999998</c:v>
                  </c:pt>
                </c:numCache>
              </c:numRef>
            </c:plus>
            <c:minus>
              <c:numRef>
                <c:f>'Zea-Trial-1_Metadata_Avg'!$F$126:$F$157</c:f>
                <c:numCache>
                  <c:formatCode>General</c:formatCode>
                  <c:ptCount val="32"/>
                  <c:pt idx="0">
                    <c:v>0.31682417899999998</c:v>
                  </c:pt>
                  <c:pt idx="1">
                    <c:v>0</c:v>
                  </c:pt>
                  <c:pt idx="2">
                    <c:v>0.311852772</c:v>
                  </c:pt>
                  <c:pt idx="3">
                    <c:v>0.22677154999999999</c:v>
                  </c:pt>
                  <c:pt idx="4">
                    <c:v>0.47087757600000002</c:v>
                  </c:pt>
                  <c:pt idx="5">
                    <c:v>0.43573595300000001</c:v>
                  </c:pt>
                  <c:pt idx="6">
                    <c:v>0.39156633299999999</c:v>
                  </c:pt>
                  <c:pt idx="7">
                    <c:v>2.3735642860000001</c:v>
                  </c:pt>
                  <c:pt idx="8">
                    <c:v>0.75762844500000004</c:v>
                  </c:pt>
                  <c:pt idx="9">
                    <c:v>0.51303613199999998</c:v>
                  </c:pt>
                  <c:pt idx="11">
                    <c:v>0.233702306</c:v>
                  </c:pt>
                  <c:pt idx="12">
                    <c:v>0.30749869600000002</c:v>
                  </c:pt>
                  <c:pt idx="13">
                    <c:v>0.56457489999999999</c:v>
                  </c:pt>
                  <c:pt idx="14">
                    <c:v>0.34645371699999999</c:v>
                  </c:pt>
                  <c:pt idx="15">
                    <c:v>0.33427644899999998</c:v>
                  </c:pt>
                  <c:pt idx="16">
                    <c:v>0.36922014600000003</c:v>
                  </c:pt>
                  <c:pt idx="18">
                    <c:v>0.33580397519017724</c:v>
                  </c:pt>
                  <c:pt idx="19">
                    <c:v>0.3536864586266163</c:v>
                  </c:pt>
                  <c:pt idx="20">
                    <c:v>0.22</c:v>
                  </c:pt>
                  <c:pt idx="22">
                    <c:v>0.197214105</c:v>
                  </c:pt>
                  <c:pt idx="23">
                    <c:v>0.372456016</c:v>
                  </c:pt>
                  <c:pt idx="24">
                    <c:v>0.227232034</c:v>
                  </c:pt>
                  <c:pt idx="25">
                    <c:v>0.3566227043475555</c:v>
                  </c:pt>
                  <c:pt idx="26">
                    <c:v>0.22603703298737238</c:v>
                  </c:pt>
                  <c:pt idx="27">
                    <c:v>0.5685409236672474</c:v>
                  </c:pt>
                  <c:pt idx="28">
                    <c:v>0.50873823116060057</c:v>
                  </c:pt>
                  <c:pt idx="29">
                    <c:v>0.2426366075618577</c:v>
                  </c:pt>
                  <c:pt idx="30">
                    <c:v>0.17928086405878171</c:v>
                  </c:pt>
                  <c:pt idx="31">
                    <c:v>0.29448424699999998</c:v>
                  </c:pt>
                </c:numCache>
              </c:numRef>
            </c:minus>
          </c:errBars>
          <c:cat>
            <c:strRef>
              <c:f>'Zea-Trial-1_Metadata_Avg'!$B$126:$B$157</c:f>
              <c:strCache>
                <c:ptCount val="32"/>
                <c:pt idx="0">
                  <c:v>* Jaltepec de Candoyoc</c:v>
                </c:pt>
                <c:pt idx="1">
                  <c:v>* Moctum</c:v>
                </c:pt>
                <c:pt idx="2">
                  <c:v>* San Ildefonso Villa Alta</c:v>
                </c:pt>
                <c:pt idx="3">
                  <c:v>* Santa Maria Temaxcalapa</c:v>
                </c:pt>
                <c:pt idx="4">
                  <c:v>* Jala, Nayarit</c:v>
                </c:pt>
                <c:pt idx="5">
                  <c:v>* San Juan Comaltepec</c:v>
                </c:pt>
                <c:pt idx="6">
                  <c:v>* San Cristobal Lachirioag</c:v>
                </c:pt>
                <c:pt idx="7">
                  <c:v>* Santiago Choapam</c:v>
                </c:pt>
                <c:pt idx="8">
                  <c:v>* San Jose Chinantequilla</c:v>
                </c:pt>
                <c:pt idx="9">
                  <c:v>* Santiago Tepitongo</c:v>
                </c:pt>
                <c:pt idx="11">
                  <c:v>** Santa Maria Tiltepec</c:v>
                </c:pt>
                <c:pt idx="12">
                  <c:v>** Totontepec cultivar 3</c:v>
                </c:pt>
                <c:pt idx="13">
                  <c:v>** Venustiano Carranza, DG</c:v>
                </c:pt>
                <c:pt idx="14">
                  <c:v>** Totontepec cultivar 2</c:v>
                </c:pt>
                <c:pt idx="15">
                  <c:v>** San Miguel Metepec</c:v>
                </c:pt>
                <c:pt idx="16">
                  <c:v>** Totontepec cultivar 1</c:v>
                </c:pt>
                <c:pt idx="18">
                  <c:v>Teosinte - Mexicana</c:v>
                </c:pt>
                <c:pt idx="19">
                  <c:v>Teosinte - Diploperennis</c:v>
                </c:pt>
                <c:pt idx="20">
                  <c:v>Teosinte - Parviglumis</c:v>
                </c:pt>
                <c:pt idx="22">
                  <c:v>Mo17</c:v>
                </c:pt>
                <c:pt idx="23">
                  <c:v>B73</c:v>
                </c:pt>
                <c:pt idx="24">
                  <c:v>Hickory King</c:v>
                </c:pt>
                <c:pt idx="25">
                  <c:v>B73 x Mo17 (1A)</c:v>
                </c:pt>
                <c:pt idx="26">
                  <c:v>B73 x Mo17 (1D)</c:v>
                </c:pt>
                <c:pt idx="27">
                  <c:v>B73 x Mo17 (3C)</c:v>
                </c:pt>
                <c:pt idx="28">
                  <c:v>B73 x Mo17 (5B)</c:v>
                </c:pt>
                <c:pt idx="29">
                  <c:v>B73 x Mo17 (7A)</c:v>
                </c:pt>
                <c:pt idx="30">
                  <c:v>B73 x Mo17 (7D)</c:v>
                </c:pt>
                <c:pt idx="31">
                  <c:v>B73 x Mo17 (Avg.*)</c:v>
                </c:pt>
              </c:strCache>
            </c:strRef>
          </c:cat>
          <c:val>
            <c:numRef>
              <c:f>'Zea-Trial-1_Metadata_Avg'!$C$126:$C$157</c:f>
              <c:numCache>
                <c:formatCode>General</c:formatCode>
                <c:ptCount val="32"/>
                <c:pt idx="0">
                  <c:v>-0.80979556699999999</c:v>
                </c:pt>
                <c:pt idx="1">
                  <c:v>-0.40960823499999999</c:v>
                </c:pt>
                <c:pt idx="2">
                  <c:v>1.4450030169999999</c:v>
                </c:pt>
                <c:pt idx="3">
                  <c:v>1.9558772820000001</c:v>
                </c:pt>
                <c:pt idx="4">
                  <c:v>2.960545459</c:v>
                </c:pt>
                <c:pt idx="5">
                  <c:v>2.965245806</c:v>
                </c:pt>
                <c:pt idx="6">
                  <c:v>3.6621340660000001</c:v>
                </c:pt>
                <c:pt idx="7">
                  <c:v>3.977018508</c:v>
                </c:pt>
                <c:pt idx="8">
                  <c:v>7.1150215269999997</c:v>
                </c:pt>
                <c:pt idx="9">
                  <c:v>8.562713746</c:v>
                </c:pt>
                <c:pt idx="11">
                  <c:v>1.46794607</c:v>
                </c:pt>
                <c:pt idx="12">
                  <c:v>1.61679452</c:v>
                </c:pt>
                <c:pt idx="13">
                  <c:v>3.0902559119999999</c:v>
                </c:pt>
                <c:pt idx="14">
                  <c:v>3.5981564079999999</c:v>
                </c:pt>
                <c:pt idx="15">
                  <c:v>5.8828127439999998</c:v>
                </c:pt>
                <c:pt idx="16">
                  <c:v>7.582375495</c:v>
                </c:pt>
                <c:pt idx="18" formatCode="0.00">
                  <c:v>1.4065445453001775</c:v>
                </c:pt>
                <c:pt idx="19" formatCode="0.00">
                  <c:v>2.6303123928988534</c:v>
                </c:pt>
                <c:pt idx="20">
                  <c:v>3.3</c:v>
                </c:pt>
                <c:pt idx="22">
                  <c:v>4.5755428800000004</c:v>
                </c:pt>
                <c:pt idx="23">
                  <c:v>6.6937726250000003</c:v>
                </c:pt>
                <c:pt idx="24">
                  <c:v>8.3952478710000005</c:v>
                </c:pt>
                <c:pt idx="25" formatCode="0.00">
                  <c:v>10.335632250178005</c:v>
                </c:pt>
                <c:pt idx="26" formatCode="0.00">
                  <c:v>3.11560117475487</c:v>
                </c:pt>
                <c:pt idx="27" formatCode="0.00">
                  <c:v>7.7224399360350926</c:v>
                </c:pt>
                <c:pt idx="28" formatCode="0.00">
                  <c:v>5.3487640069538358</c:v>
                </c:pt>
                <c:pt idx="29" formatCode="0.00">
                  <c:v>1.8952452458634166</c:v>
                </c:pt>
                <c:pt idx="30" formatCode="0.00">
                  <c:v>1.9752827681832508</c:v>
                </c:pt>
                <c:pt idx="31">
                  <c:v>5.0624044509999999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11-6548-BDCD-642273E7A901}"/>
            </c:ext>
          </c:extLst>
        </c:ser>
        <c:ser>
          <c:idx val="1"/>
          <c:order val="1"/>
          <c:tx>
            <c:v>T2 = 13 weeks</c:v>
          </c:tx>
          <c:spPr>
            <a:solidFill>
              <a:srgbClr val="6FA8DC"/>
            </a:solidFill>
            <a:ln w="19050" cmpd="sng">
              <a:solidFill>
                <a:srgbClr val="000000">
                  <a:alpha val="100000"/>
                </a:srgbClr>
              </a:solidFill>
            </a:ln>
          </c:spPr>
          <c:invertIfNegative val="0"/>
          <c:errBars>
            <c:errBarType val="both"/>
            <c:errValType val="cust"/>
            <c:noEndCap val="0"/>
            <c:plus>
              <c:numRef>
                <c:f>'Zea-Trial-1_Metadata_Avg'!$R$126:$R$157</c:f>
                <c:numCache>
                  <c:formatCode>General</c:formatCode>
                  <c:ptCount val="32"/>
                  <c:pt idx="0">
                    <c:v>0.665899397</c:v>
                  </c:pt>
                  <c:pt idx="1">
                    <c:v>0</c:v>
                  </c:pt>
                  <c:pt idx="2">
                    <c:v>0.39040669099999997</c:v>
                  </c:pt>
                  <c:pt idx="3">
                    <c:v>0.33349546299999999</c:v>
                  </c:pt>
                  <c:pt idx="4">
                    <c:v>0.38457798900000001</c:v>
                  </c:pt>
                  <c:pt idx="5">
                    <c:v>0.350725128</c:v>
                  </c:pt>
                  <c:pt idx="6">
                    <c:v>0.289323461</c:v>
                  </c:pt>
                  <c:pt idx="7">
                    <c:v>1.3549685</c:v>
                  </c:pt>
                  <c:pt idx="8">
                    <c:v>0.50891946700000001</c:v>
                  </c:pt>
                  <c:pt idx="9">
                    <c:v>0.339727689</c:v>
                  </c:pt>
                  <c:pt idx="11">
                    <c:v>0.333728776</c:v>
                  </c:pt>
                  <c:pt idx="12">
                    <c:v>0.30691249500000001</c:v>
                  </c:pt>
                  <c:pt idx="13">
                    <c:v>0.52680463</c:v>
                  </c:pt>
                  <c:pt idx="14">
                    <c:v>0.28090220399999999</c:v>
                  </c:pt>
                  <c:pt idx="15">
                    <c:v>0.175227304</c:v>
                  </c:pt>
                  <c:pt idx="16">
                    <c:v>0.46272369499999999</c:v>
                  </c:pt>
                  <c:pt idx="18">
                    <c:v>0.32311127000000001</c:v>
                  </c:pt>
                  <c:pt idx="19">
                    <c:v>0.96053967500000004</c:v>
                  </c:pt>
                  <c:pt idx="20">
                    <c:v>0.37555671499999999</c:v>
                  </c:pt>
                  <c:pt idx="22">
                    <c:v>0</c:v>
                  </c:pt>
                  <c:pt idx="23">
                    <c:v>0</c:v>
                  </c:pt>
                  <c:pt idx="24">
                    <c:v>0</c:v>
                  </c:pt>
                  <c:pt idx="25">
                    <c:v>0</c:v>
                  </c:pt>
                  <c:pt idx="26">
                    <c:v>0</c:v>
                  </c:pt>
                  <c:pt idx="27">
                    <c:v>0</c:v>
                  </c:pt>
                  <c:pt idx="28">
                    <c:v>0</c:v>
                  </c:pt>
                  <c:pt idx="29">
                    <c:v>0</c:v>
                  </c:pt>
                  <c:pt idx="30">
                    <c:v>0</c:v>
                  </c:pt>
                  <c:pt idx="31">
                    <c:v>0</c:v>
                  </c:pt>
                </c:numCache>
              </c:numRef>
            </c:plus>
            <c:minus>
              <c:numRef>
                <c:f>'Zea-Trial-1_Metadata_Avg'!$R$126:$R$157</c:f>
                <c:numCache>
                  <c:formatCode>General</c:formatCode>
                  <c:ptCount val="32"/>
                  <c:pt idx="0">
                    <c:v>0.665899397</c:v>
                  </c:pt>
                  <c:pt idx="1">
                    <c:v>0</c:v>
                  </c:pt>
                  <c:pt idx="2">
                    <c:v>0.39040669099999997</c:v>
                  </c:pt>
                  <c:pt idx="3">
                    <c:v>0.33349546299999999</c:v>
                  </c:pt>
                  <c:pt idx="4">
                    <c:v>0.38457798900000001</c:v>
                  </c:pt>
                  <c:pt idx="5">
                    <c:v>0.350725128</c:v>
                  </c:pt>
                  <c:pt idx="6">
                    <c:v>0.289323461</c:v>
                  </c:pt>
                  <c:pt idx="7">
                    <c:v>1.3549685</c:v>
                  </c:pt>
                  <c:pt idx="8">
                    <c:v>0.50891946700000001</c:v>
                  </c:pt>
                  <c:pt idx="9">
                    <c:v>0.339727689</c:v>
                  </c:pt>
                  <c:pt idx="11">
                    <c:v>0.333728776</c:v>
                  </c:pt>
                  <c:pt idx="12">
                    <c:v>0.30691249500000001</c:v>
                  </c:pt>
                  <c:pt idx="13">
                    <c:v>0.52680463</c:v>
                  </c:pt>
                  <c:pt idx="14">
                    <c:v>0.28090220399999999</c:v>
                  </c:pt>
                  <c:pt idx="15">
                    <c:v>0.175227304</c:v>
                  </c:pt>
                  <c:pt idx="16">
                    <c:v>0.46272369499999999</c:v>
                  </c:pt>
                  <c:pt idx="18">
                    <c:v>0.32311127000000001</c:v>
                  </c:pt>
                  <c:pt idx="19">
                    <c:v>0.96053967500000004</c:v>
                  </c:pt>
                  <c:pt idx="20">
                    <c:v>0.37555671499999999</c:v>
                  </c:pt>
                  <c:pt idx="22">
                    <c:v>0</c:v>
                  </c:pt>
                  <c:pt idx="23">
                    <c:v>0</c:v>
                  </c:pt>
                  <c:pt idx="24">
                    <c:v>0</c:v>
                  </c:pt>
                  <c:pt idx="25">
                    <c:v>0</c:v>
                  </c:pt>
                  <c:pt idx="26">
                    <c:v>0</c:v>
                  </c:pt>
                  <c:pt idx="27">
                    <c:v>0</c:v>
                  </c:pt>
                  <c:pt idx="28">
                    <c:v>0</c:v>
                  </c:pt>
                  <c:pt idx="29">
                    <c:v>0</c:v>
                  </c:pt>
                  <c:pt idx="30">
                    <c:v>0</c:v>
                  </c:pt>
                  <c:pt idx="31">
                    <c:v>0</c:v>
                  </c:pt>
                </c:numCache>
              </c:numRef>
            </c:minus>
          </c:errBars>
          <c:cat>
            <c:strRef>
              <c:f>'Zea-Trial-1_Metadata_Avg'!$B$126:$B$157</c:f>
              <c:strCache>
                <c:ptCount val="32"/>
                <c:pt idx="0">
                  <c:v>* Jaltepec de Candoyoc</c:v>
                </c:pt>
                <c:pt idx="1">
                  <c:v>* Moctum</c:v>
                </c:pt>
                <c:pt idx="2">
                  <c:v>* San Ildefonso Villa Alta</c:v>
                </c:pt>
                <c:pt idx="3">
                  <c:v>* Santa Maria Temaxcalapa</c:v>
                </c:pt>
                <c:pt idx="4">
                  <c:v>* Jala, Nayarit</c:v>
                </c:pt>
                <c:pt idx="5">
                  <c:v>* San Juan Comaltepec</c:v>
                </c:pt>
                <c:pt idx="6">
                  <c:v>* San Cristobal Lachirioag</c:v>
                </c:pt>
                <c:pt idx="7">
                  <c:v>* Santiago Choapam</c:v>
                </c:pt>
                <c:pt idx="8">
                  <c:v>* San Jose Chinantequilla</c:v>
                </c:pt>
                <c:pt idx="9">
                  <c:v>* Santiago Tepitongo</c:v>
                </c:pt>
                <c:pt idx="11">
                  <c:v>** Santa Maria Tiltepec</c:v>
                </c:pt>
                <c:pt idx="12">
                  <c:v>** Totontepec cultivar 3</c:v>
                </c:pt>
                <c:pt idx="13">
                  <c:v>** Venustiano Carranza, DG</c:v>
                </c:pt>
                <c:pt idx="14">
                  <c:v>** Totontepec cultivar 2</c:v>
                </c:pt>
                <c:pt idx="15">
                  <c:v>** San Miguel Metepec</c:v>
                </c:pt>
                <c:pt idx="16">
                  <c:v>** Totontepec cultivar 1</c:v>
                </c:pt>
                <c:pt idx="18">
                  <c:v>Teosinte - Mexicana</c:v>
                </c:pt>
                <c:pt idx="19">
                  <c:v>Teosinte - Diploperennis</c:v>
                </c:pt>
                <c:pt idx="20">
                  <c:v>Teosinte - Parviglumis</c:v>
                </c:pt>
                <c:pt idx="22">
                  <c:v>Mo17</c:v>
                </c:pt>
                <c:pt idx="23">
                  <c:v>B73</c:v>
                </c:pt>
                <c:pt idx="24">
                  <c:v>Hickory King</c:v>
                </c:pt>
                <c:pt idx="25">
                  <c:v>B73 x Mo17 (1A)</c:v>
                </c:pt>
                <c:pt idx="26">
                  <c:v>B73 x Mo17 (1D)</c:v>
                </c:pt>
                <c:pt idx="27">
                  <c:v>B73 x Mo17 (3C)</c:v>
                </c:pt>
                <c:pt idx="28">
                  <c:v>B73 x Mo17 (5B)</c:v>
                </c:pt>
                <c:pt idx="29">
                  <c:v>B73 x Mo17 (7A)</c:v>
                </c:pt>
                <c:pt idx="30">
                  <c:v>B73 x Mo17 (7D)</c:v>
                </c:pt>
                <c:pt idx="31">
                  <c:v>B73 x Mo17 (Avg.*)</c:v>
                </c:pt>
              </c:strCache>
            </c:strRef>
          </c:cat>
          <c:val>
            <c:numRef>
              <c:f>'Zea-Trial-1_Metadata_Avg'!$O$126:$O$157</c:f>
              <c:numCache>
                <c:formatCode>General</c:formatCode>
                <c:ptCount val="32"/>
                <c:pt idx="0">
                  <c:v>1.5941249529999999</c:v>
                </c:pt>
                <c:pt idx="1">
                  <c:v>3.6370819089999999</c:v>
                </c:pt>
                <c:pt idx="2">
                  <c:v>2.5705530830000001</c:v>
                </c:pt>
                <c:pt idx="3">
                  <c:v>2.9986478550000002</c:v>
                </c:pt>
                <c:pt idx="4">
                  <c:v>5.0534275009999998</c:v>
                </c:pt>
                <c:pt idx="5">
                  <c:v>4.7830080180000003</c:v>
                </c:pt>
                <c:pt idx="6">
                  <c:v>5.6393791450000004</c:v>
                </c:pt>
                <c:pt idx="7">
                  <c:v>4.1565943289999998</c:v>
                </c:pt>
                <c:pt idx="8">
                  <c:v>7.7622538759999999</c:v>
                </c:pt>
                <c:pt idx="9">
                  <c:v>8.9073356080000003</c:v>
                </c:pt>
                <c:pt idx="11">
                  <c:v>3.4929694530000002</c:v>
                </c:pt>
                <c:pt idx="12">
                  <c:v>2.7613103099999998</c:v>
                </c:pt>
                <c:pt idx="13">
                  <c:v>4.1252708460000003</c:v>
                </c:pt>
                <c:pt idx="14">
                  <c:v>5.1897409889999997</c:v>
                </c:pt>
                <c:pt idx="15">
                  <c:v>6.8833448830000004</c:v>
                </c:pt>
                <c:pt idx="16">
                  <c:v>8.4136483749999993</c:v>
                </c:pt>
                <c:pt idx="18">
                  <c:v>3.091878983</c:v>
                </c:pt>
                <c:pt idx="19">
                  <c:v>3.792712146</c:v>
                </c:pt>
                <c:pt idx="20">
                  <c:v>3.719335761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611-6548-BDCD-642273E7A9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66369577"/>
        <c:axId val="850724411"/>
      </c:barChart>
      <c:catAx>
        <c:axId val="5663695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txPr>
          <a:bodyPr/>
          <a:lstStyle/>
          <a:p>
            <a:pPr lvl="0">
              <a:defRPr sz="1400" b="0" i="0">
                <a:solidFill>
                  <a:srgbClr val="000000"/>
                </a:solidFill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en-US"/>
          </a:p>
        </c:txPr>
        <c:crossAx val="850724411"/>
        <c:crosses val="autoZero"/>
        <c:auto val="1"/>
        <c:lblAlgn val="ctr"/>
        <c:lblOffset val="100"/>
        <c:noMultiLvlLbl val="1"/>
      </c:catAx>
      <c:valAx>
        <c:axId val="85072441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sz="2000" b="1" i="0">
                    <a:solidFill>
                      <a:srgbClr val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defRPr>
                </a:pPr>
                <a:r>
                  <a:rPr lang="en-US" sz="2000" b="1" i="0">
                    <a:solidFill>
                      <a:srgbClr val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15N Values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600" b="0" i="0">
                <a:solidFill>
                  <a:srgbClr val="000000"/>
                </a:solidFill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en-US"/>
          </a:p>
        </c:txPr>
        <c:crossAx val="566369577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1600" b="0" i="0">
              <a:solidFill>
                <a:srgbClr val="1A1A1A"/>
              </a:solidFill>
              <a:latin typeface="Arial" panose="020B0604020202020204" pitchFamily="34" charset="0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2000" b="1" i="0">
                <a:solidFill>
                  <a:srgbClr val="000000"/>
                </a:solidFill>
                <a:latin typeface="Arial" panose="020B0604020202020204" pitchFamily="34" charset="0"/>
                <a:cs typeface="Arial" panose="020B0604020202020204" pitchFamily="34" charset="0"/>
              </a:defRPr>
            </a:pPr>
            <a:r>
              <a:rPr lang="en-US" sz="2000" b="1" i="0">
                <a:solidFill>
                  <a:srgbClr val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Time to Maturity for Zea Subpopulations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T1 = 9 weeks</c:v>
          </c:tx>
          <c:spPr>
            <a:solidFill>
              <a:srgbClr val="92D050"/>
            </a:solidFill>
            <a:ln w="19050" cmpd="sng">
              <a:solidFill>
                <a:srgbClr val="000000">
                  <a:alpha val="100000"/>
                </a:srgbClr>
              </a:solidFill>
            </a:ln>
          </c:spPr>
          <c:invertIfNegative val="1"/>
          <c:dPt>
            <c:idx val="4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0-FF3A-8840-B9A7-BA6952A11615}"/>
              </c:ext>
            </c:extLst>
          </c:dPt>
          <c:dPt>
            <c:idx val="11"/>
            <c:invertIfNegative val="1"/>
            <c:bubble3D val="0"/>
            <c:spPr>
              <a:solidFill>
                <a:srgbClr val="EA847F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2-FF3A-8840-B9A7-BA6952A11615}"/>
              </c:ext>
            </c:extLst>
          </c:dPt>
          <c:dPt>
            <c:idx val="12"/>
            <c:invertIfNegative val="1"/>
            <c:bubble3D val="0"/>
            <c:spPr>
              <a:solidFill>
                <a:srgbClr val="EA847F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4-FF3A-8840-B9A7-BA6952A11615}"/>
              </c:ext>
            </c:extLst>
          </c:dPt>
          <c:dPt>
            <c:idx val="13"/>
            <c:invertIfNegative val="1"/>
            <c:bubble3D val="0"/>
            <c:spPr>
              <a:solidFill>
                <a:srgbClr val="EA847F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6-FF3A-8840-B9A7-BA6952A11615}"/>
              </c:ext>
            </c:extLst>
          </c:dPt>
          <c:dPt>
            <c:idx val="14"/>
            <c:invertIfNegative val="1"/>
            <c:bubble3D val="0"/>
            <c:spPr>
              <a:solidFill>
                <a:srgbClr val="EA847F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8-FF3A-8840-B9A7-BA6952A11615}"/>
              </c:ext>
            </c:extLst>
          </c:dPt>
          <c:dPt>
            <c:idx val="15"/>
            <c:invertIfNegative val="1"/>
            <c:bubble3D val="0"/>
            <c:spPr>
              <a:solidFill>
                <a:srgbClr val="EA847F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A-FF3A-8840-B9A7-BA6952A11615}"/>
              </c:ext>
            </c:extLst>
          </c:dPt>
          <c:dPt>
            <c:idx val="16"/>
            <c:invertIfNegative val="1"/>
            <c:bubble3D val="0"/>
            <c:spPr>
              <a:solidFill>
                <a:srgbClr val="EA847F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C-FF3A-8840-B9A7-BA6952A11615}"/>
              </c:ext>
            </c:extLst>
          </c:dPt>
          <c:dPt>
            <c:idx val="18"/>
            <c:invertIfNegative val="1"/>
            <c:bubble3D val="0"/>
            <c:spPr>
              <a:solidFill>
                <a:srgbClr val="BF91EB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E-FF3A-8840-B9A7-BA6952A11615}"/>
              </c:ext>
            </c:extLst>
          </c:dPt>
          <c:dPt>
            <c:idx val="19"/>
            <c:invertIfNegative val="1"/>
            <c:bubble3D val="0"/>
            <c:spPr>
              <a:solidFill>
                <a:srgbClr val="BF91EB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10-FF3A-8840-B9A7-BA6952A11615}"/>
              </c:ext>
            </c:extLst>
          </c:dPt>
          <c:dPt>
            <c:idx val="20"/>
            <c:invertIfNegative val="1"/>
            <c:bubble3D val="0"/>
            <c:spPr>
              <a:solidFill>
                <a:srgbClr val="BF91EB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12-FF3A-8840-B9A7-BA6952A11615}"/>
              </c:ext>
            </c:extLst>
          </c:dPt>
          <c:dPt>
            <c:idx val="22"/>
            <c:invertIfNegative val="1"/>
            <c:bubble3D val="0"/>
            <c:spPr>
              <a:solidFill>
                <a:srgbClr val="94E9E9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14-FF3A-8840-B9A7-BA6952A11615}"/>
              </c:ext>
            </c:extLst>
          </c:dPt>
          <c:dPt>
            <c:idx val="23"/>
            <c:invertIfNegative val="1"/>
            <c:bubble3D val="0"/>
            <c:spPr>
              <a:solidFill>
                <a:srgbClr val="94E9E9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16-FF3A-8840-B9A7-BA6952A11615}"/>
              </c:ext>
            </c:extLst>
          </c:dPt>
          <c:dPt>
            <c:idx val="24"/>
            <c:invertIfNegative val="1"/>
            <c:bubble3D val="0"/>
            <c:spPr>
              <a:solidFill>
                <a:srgbClr val="94E9E9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18-FF3A-8840-B9A7-BA6952A11615}"/>
              </c:ext>
            </c:extLst>
          </c:dPt>
          <c:dPt>
            <c:idx val="25"/>
            <c:invertIfNegative val="1"/>
            <c:bubble3D val="0"/>
            <c:spPr>
              <a:solidFill>
                <a:srgbClr val="94E9E9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1A-FF3A-8840-B9A7-BA6952A11615}"/>
              </c:ext>
            </c:extLst>
          </c:dPt>
          <c:dPt>
            <c:idx val="26"/>
            <c:invertIfNegative val="1"/>
            <c:bubble3D val="0"/>
            <c:spPr>
              <a:solidFill>
                <a:srgbClr val="94E9E9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1C-FF3A-8840-B9A7-BA6952A11615}"/>
              </c:ext>
            </c:extLst>
          </c:dPt>
          <c:dPt>
            <c:idx val="27"/>
            <c:invertIfNegative val="1"/>
            <c:bubble3D val="0"/>
            <c:spPr>
              <a:solidFill>
                <a:srgbClr val="94E9E9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1E-FF3A-8840-B9A7-BA6952A11615}"/>
              </c:ext>
            </c:extLst>
          </c:dPt>
          <c:dPt>
            <c:idx val="28"/>
            <c:invertIfNegative val="1"/>
            <c:bubble3D val="0"/>
            <c:spPr>
              <a:solidFill>
                <a:srgbClr val="94E9E9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20-FF3A-8840-B9A7-BA6952A11615}"/>
              </c:ext>
            </c:extLst>
          </c:dPt>
          <c:dPt>
            <c:idx val="29"/>
            <c:invertIfNegative val="1"/>
            <c:bubble3D val="0"/>
            <c:spPr>
              <a:solidFill>
                <a:srgbClr val="94E9E9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22-FF3A-8840-B9A7-BA6952A11615}"/>
              </c:ext>
            </c:extLst>
          </c:dPt>
          <c:dPt>
            <c:idx val="30"/>
            <c:invertIfNegative val="1"/>
            <c:bubble3D val="0"/>
            <c:spPr>
              <a:solidFill>
                <a:srgbClr val="94E9E9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24-FF3A-8840-B9A7-BA6952A11615}"/>
              </c:ext>
            </c:extLst>
          </c:dPt>
          <c:dPt>
            <c:idx val="31"/>
            <c:invertIfNegative val="1"/>
            <c:bubble3D val="0"/>
            <c:spPr>
              <a:solidFill>
                <a:srgbClr val="94E9E9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26-FF3A-8840-B9A7-BA6952A11615}"/>
              </c:ext>
            </c:extLst>
          </c:dPt>
          <c:errBars>
            <c:errBarType val="both"/>
            <c:errValType val="cust"/>
            <c:noEndCap val="0"/>
            <c:plus>
              <c:numRef>
                <c:f>'Zea-Trial-1_Metadata_Avg'!$AX$126:$AX$157</c:f>
                <c:numCache>
                  <c:formatCode>General</c:formatCode>
                  <c:ptCount val="32"/>
                  <c:pt idx="0">
                    <c:v>0</c:v>
                  </c:pt>
                  <c:pt idx="1">
                    <c:v>0</c:v>
                  </c:pt>
                  <c:pt idx="2">
                    <c:v>1.443760522</c:v>
                  </c:pt>
                  <c:pt idx="3">
                    <c:v>1.461642911</c:v>
                  </c:pt>
                  <c:pt idx="4">
                    <c:v>1.212435565</c:v>
                  </c:pt>
                  <c:pt idx="5">
                    <c:v>1.734434912</c:v>
                  </c:pt>
                  <c:pt idx="6">
                    <c:v>1.0030147789999999</c:v>
                  </c:pt>
                  <c:pt idx="7">
                    <c:v>0</c:v>
                  </c:pt>
                  <c:pt idx="8">
                    <c:v>1.9638608179999999</c:v>
                  </c:pt>
                  <c:pt idx="9">
                    <c:v>0.85541412999999999</c:v>
                  </c:pt>
                  <c:pt idx="11">
                    <c:v>1.3403979509999999</c:v>
                  </c:pt>
                  <c:pt idx="12">
                    <c:v>1.6766194059999999</c:v>
                  </c:pt>
                  <c:pt idx="13">
                    <c:v>1.8073922280000001</c:v>
                  </c:pt>
                  <c:pt idx="14">
                    <c:v>1.9182914010000001</c:v>
                  </c:pt>
                  <c:pt idx="15">
                    <c:v>1.4567134559999999</c:v>
                  </c:pt>
                  <c:pt idx="16">
                    <c:v>2.03415284</c:v>
                  </c:pt>
                  <c:pt idx="18">
                    <c:v>1.1399999999999999</c:v>
                  </c:pt>
                  <c:pt idx="19">
                    <c:v>0</c:v>
                  </c:pt>
                  <c:pt idx="20">
                    <c:v>0</c:v>
                  </c:pt>
                  <c:pt idx="22">
                    <c:v>0.439132629</c:v>
                  </c:pt>
                  <c:pt idx="23">
                    <c:v>0.58985506200000004</c:v>
                  </c:pt>
                  <c:pt idx="24">
                    <c:v>1.2647280489999999</c:v>
                  </c:pt>
                  <c:pt idx="25">
                    <c:v>0.7</c:v>
                  </c:pt>
                  <c:pt idx="26">
                    <c:v>1.08</c:v>
                  </c:pt>
                  <c:pt idx="27">
                    <c:v>0.88</c:v>
                  </c:pt>
                  <c:pt idx="28">
                    <c:v>0.61</c:v>
                  </c:pt>
                  <c:pt idx="29">
                    <c:v>0.52</c:v>
                  </c:pt>
                  <c:pt idx="30">
                    <c:v>0.79</c:v>
                  </c:pt>
                  <c:pt idx="31">
                    <c:v>0.34126046500000001</c:v>
                  </c:pt>
                </c:numCache>
              </c:numRef>
            </c:plus>
            <c:minus>
              <c:numRef>
                <c:f>'Zea-Trial-1_Metadata_Avg'!$AX$126:$AX$157</c:f>
                <c:numCache>
                  <c:formatCode>General</c:formatCode>
                  <c:ptCount val="32"/>
                  <c:pt idx="0">
                    <c:v>0</c:v>
                  </c:pt>
                  <c:pt idx="1">
                    <c:v>0</c:v>
                  </c:pt>
                  <c:pt idx="2">
                    <c:v>1.443760522</c:v>
                  </c:pt>
                  <c:pt idx="3">
                    <c:v>1.461642911</c:v>
                  </c:pt>
                  <c:pt idx="4">
                    <c:v>1.212435565</c:v>
                  </c:pt>
                  <c:pt idx="5">
                    <c:v>1.734434912</c:v>
                  </c:pt>
                  <c:pt idx="6">
                    <c:v>1.0030147789999999</c:v>
                  </c:pt>
                  <c:pt idx="7">
                    <c:v>0</c:v>
                  </c:pt>
                  <c:pt idx="8">
                    <c:v>1.9638608179999999</c:v>
                  </c:pt>
                  <c:pt idx="9">
                    <c:v>0.85541412999999999</c:v>
                  </c:pt>
                  <c:pt idx="11">
                    <c:v>1.3403979509999999</c:v>
                  </c:pt>
                  <c:pt idx="12">
                    <c:v>1.6766194059999999</c:v>
                  </c:pt>
                  <c:pt idx="13">
                    <c:v>1.8073922280000001</c:v>
                  </c:pt>
                  <c:pt idx="14">
                    <c:v>1.9182914010000001</c:v>
                  </c:pt>
                  <c:pt idx="15">
                    <c:v>1.4567134559999999</c:v>
                  </c:pt>
                  <c:pt idx="16">
                    <c:v>2.03415284</c:v>
                  </c:pt>
                  <c:pt idx="18">
                    <c:v>1.1399999999999999</c:v>
                  </c:pt>
                  <c:pt idx="19">
                    <c:v>0</c:v>
                  </c:pt>
                  <c:pt idx="20">
                    <c:v>0</c:v>
                  </c:pt>
                  <c:pt idx="22">
                    <c:v>0.439132629</c:v>
                  </c:pt>
                  <c:pt idx="23">
                    <c:v>0.58985506200000004</c:v>
                  </c:pt>
                  <c:pt idx="24">
                    <c:v>1.2647280489999999</c:v>
                  </c:pt>
                  <c:pt idx="25">
                    <c:v>0.7</c:v>
                  </c:pt>
                  <c:pt idx="26">
                    <c:v>1.08</c:v>
                  </c:pt>
                  <c:pt idx="27">
                    <c:v>0.88</c:v>
                  </c:pt>
                  <c:pt idx="28">
                    <c:v>0.61</c:v>
                  </c:pt>
                  <c:pt idx="29">
                    <c:v>0.52</c:v>
                  </c:pt>
                  <c:pt idx="30">
                    <c:v>0.79</c:v>
                  </c:pt>
                  <c:pt idx="31">
                    <c:v>0.34126046500000001</c:v>
                  </c:pt>
                </c:numCache>
              </c:numRef>
            </c:minus>
          </c:errBars>
          <c:cat>
            <c:strRef>
              <c:f>'Zea-Trial-1_Metadata_Avg'!$B$126:$B$157</c:f>
              <c:strCache>
                <c:ptCount val="32"/>
                <c:pt idx="0">
                  <c:v>* Jaltepec de Candoyoc</c:v>
                </c:pt>
                <c:pt idx="1">
                  <c:v>* Moctum</c:v>
                </c:pt>
                <c:pt idx="2">
                  <c:v>* San Ildefonso Villa Alta</c:v>
                </c:pt>
                <c:pt idx="3">
                  <c:v>* Santa Maria Temaxcalapa</c:v>
                </c:pt>
                <c:pt idx="4">
                  <c:v>* Jala, Nayarit</c:v>
                </c:pt>
                <c:pt idx="5">
                  <c:v>* San Juan Comaltepec</c:v>
                </c:pt>
                <c:pt idx="6">
                  <c:v>* San Cristobal Lachirioag</c:v>
                </c:pt>
                <c:pt idx="7">
                  <c:v>* Santiago Choapam</c:v>
                </c:pt>
                <c:pt idx="8">
                  <c:v>* San Jose Chinantequilla</c:v>
                </c:pt>
                <c:pt idx="9">
                  <c:v>* Santiago Tepitongo</c:v>
                </c:pt>
                <c:pt idx="11">
                  <c:v>** Santa Maria Tiltepec</c:v>
                </c:pt>
                <c:pt idx="12">
                  <c:v>** Totontepec cultivar 3</c:v>
                </c:pt>
                <c:pt idx="13">
                  <c:v>** Venustiano Carranza, DG</c:v>
                </c:pt>
                <c:pt idx="14">
                  <c:v>** Totontepec cultivar 2</c:v>
                </c:pt>
                <c:pt idx="15">
                  <c:v>** San Miguel Metepec</c:v>
                </c:pt>
                <c:pt idx="16">
                  <c:v>** Totontepec cultivar 1</c:v>
                </c:pt>
                <c:pt idx="18">
                  <c:v>Teosinte - Mexicana</c:v>
                </c:pt>
                <c:pt idx="19">
                  <c:v>Teosinte - Diploperennis</c:v>
                </c:pt>
                <c:pt idx="20">
                  <c:v>Teosinte - Parviglumis</c:v>
                </c:pt>
                <c:pt idx="22">
                  <c:v>Mo17</c:v>
                </c:pt>
                <c:pt idx="23">
                  <c:v>B73</c:v>
                </c:pt>
                <c:pt idx="24">
                  <c:v>Hickory King</c:v>
                </c:pt>
                <c:pt idx="25">
                  <c:v>B73 x Mo17 (1A)</c:v>
                </c:pt>
                <c:pt idx="26">
                  <c:v>B73 x Mo17 (1D)</c:v>
                </c:pt>
                <c:pt idx="27">
                  <c:v>B73 x Mo17 (3C)</c:v>
                </c:pt>
                <c:pt idx="28">
                  <c:v>B73 x Mo17 (5B)</c:v>
                </c:pt>
                <c:pt idx="29">
                  <c:v>B73 x Mo17 (7A)</c:v>
                </c:pt>
                <c:pt idx="30">
                  <c:v>B73 x Mo17 (7D)</c:v>
                </c:pt>
                <c:pt idx="31">
                  <c:v>B73 x Mo17 (Avg.*)</c:v>
                </c:pt>
              </c:strCache>
            </c:strRef>
          </c:cat>
          <c:val>
            <c:numRef>
              <c:f>'Zea-Trial-1_Metadata_Avg'!$AU$126:$AU$157</c:f>
              <c:numCache>
                <c:formatCode>General</c:formatCode>
                <c:ptCount val="32"/>
                <c:pt idx="0">
                  <c:v>95</c:v>
                </c:pt>
                <c:pt idx="1">
                  <c:v>95</c:v>
                </c:pt>
                <c:pt idx="2">
                  <c:v>123.4666667</c:v>
                </c:pt>
                <c:pt idx="3">
                  <c:v>105.08</c:v>
                </c:pt>
                <c:pt idx="4">
                  <c:v>102</c:v>
                </c:pt>
                <c:pt idx="5">
                  <c:v>114.0909091</c:v>
                </c:pt>
                <c:pt idx="6">
                  <c:v>104.33333330000001</c:v>
                </c:pt>
                <c:pt idx="7">
                  <c:v>102</c:v>
                </c:pt>
                <c:pt idx="8">
                  <c:v>107.0909091</c:v>
                </c:pt>
                <c:pt idx="9">
                  <c:v>101.72</c:v>
                </c:pt>
                <c:pt idx="11">
                  <c:v>117.4</c:v>
                </c:pt>
                <c:pt idx="12">
                  <c:v>116.7</c:v>
                </c:pt>
                <c:pt idx="13">
                  <c:v>74</c:v>
                </c:pt>
                <c:pt idx="14">
                  <c:v>116</c:v>
                </c:pt>
                <c:pt idx="15">
                  <c:v>103.5217391</c:v>
                </c:pt>
                <c:pt idx="16">
                  <c:v>117.4</c:v>
                </c:pt>
                <c:pt idx="18">
                  <c:v>115.44</c:v>
                </c:pt>
                <c:pt idx="19">
                  <c:v>130</c:v>
                </c:pt>
                <c:pt idx="20">
                  <c:v>0</c:v>
                </c:pt>
                <c:pt idx="22">
                  <c:v>74.636363639999999</c:v>
                </c:pt>
                <c:pt idx="23">
                  <c:v>75.61538462</c:v>
                </c:pt>
                <c:pt idx="24">
                  <c:v>74.75</c:v>
                </c:pt>
                <c:pt idx="25">
                  <c:v>73.739999999999995</c:v>
                </c:pt>
                <c:pt idx="26">
                  <c:v>72.92</c:v>
                </c:pt>
                <c:pt idx="27">
                  <c:v>71.14</c:v>
                </c:pt>
                <c:pt idx="28">
                  <c:v>74.27</c:v>
                </c:pt>
                <c:pt idx="29">
                  <c:v>74.52</c:v>
                </c:pt>
                <c:pt idx="30">
                  <c:v>76.959999999999994</c:v>
                </c:pt>
                <c:pt idx="31">
                  <c:v>74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19050" cmpd="sng">
                    <a:solidFill>
                      <a:srgbClr val="000000">
                        <a:alpha val="100000"/>
                      </a:srgbClr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27-FF3A-8840-B9A7-BA6952A116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8731711"/>
        <c:axId val="1320271348"/>
      </c:barChart>
      <c:catAx>
        <c:axId val="1687317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1400" b="1" i="0">
                <a:solidFill>
                  <a:srgbClr val="000000"/>
                </a:solidFill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en-US"/>
          </a:p>
        </c:txPr>
        <c:crossAx val="1320271348"/>
        <c:crosses val="autoZero"/>
        <c:auto val="1"/>
        <c:lblAlgn val="ctr"/>
        <c:lblOffset val="100"/>
        <c:noMultiLvlLbl val="1"/>
      </c:catAx>
      <c:valAx>
        <c:axId val="132027134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sz="2000" b="1" i="0">
                    <a:solidFill>
                      <a:srgbClr val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defRPr>
                </a:pPr>
                <a:r>
                  <a:rPr lang="en-US" sz="2000" b="1" i="0">
                    <a:solidFill>
                      <a:srgbClr val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Days to Tassel Emergence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600" b="0" i="0">
                <a:solidFill>
                  <a:srgbClr val="000000"/>
                </a:solidFill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en-US"/>
          </a:p>
        </c:txPr>
        <c:crossAx val="16873171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2000" b="1" i="0">
                <a:solidFill>
                  <a:srgbClr val="000000"/>
                </a:solidFill>
                <a:latin typeface="Arial" panose="020B0604020202020204" pitchFamily="34" charset="0"/>
                <a:cs typeface="Arial" panose="020B0604020202020204" pitchFamily="34" charset="0"/>
              </a:defRPr>
            </a:pPr>
            <a:r>
              <a:rPr lang="en-US" sz="2000" b="1" i="0">
                <a:solidFill>
                  <a:srgbClr val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Aerial Root Node Variation among Zea Subpopulations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T1 = 9 weeks</c:v>
          </c:tx>
          <c:spPr>
            <a:solidFill>
              <a:srgbClr val="92D050"/>
            </a:solidFill>
            <a:ln w="19050" cmpd="sng">
              <a:solidFill>
                <a:srgbClr val="000000">
                  <a:alpha val="100000"/>
                </a:srgbClr>
              </a:solidFill>
            </a:ln>
          </c:spPr>
          <c:invertIfNegative val="1"/>
          <c:dPt>
            <c:idx val="11"/>
            <c:invertIfNegative val="1"/>
            <c:bubble3D val="0"/>
            <c:spPr>
              <a:solidFill>
                <a:srgbClr val="EA847F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1-E74D-334F-A3DE-B3E217C96DB0}"/>
              </c:ext>
            </c:extLst>
          </c:dPt>
          <c:dPt>
            <c:idx val="12"/>
            <c:invertIfNegative val="1"/>
            <c:bubble3D val="0"/>
            <c:spPr>
              <a:solidFill>
                <a:srgbClr val="EA847F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3-E74D-334F-A3DE-B3E217C96DB0}"/>
              </c:ext>
            </c:extLst>
          </c:dPt>
          <c:dPt>
            <c:idx val="13"/>
            <c:invertIfNegative val="1"/>
            <c:bubble3D val="0"/>
            <c:spPr>
              <a:solidFill>
                <a:srgbClr val="EA847F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5-E74D-334F-A3DE-B3E217C96DB0}"/>
              </c:ext>
            </c:extLst>
          </c:dPt>
          <c:dPt>
            <c:idx val="14"/>
            <c:invertIfNegative val="1"/>
            <c:bubble3D val="0"/>
            <c:spPr>
              <a:solidFill>
                <a:srgbClr val="EA847F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7-E74D-334F-A3DE-B3E217C96DB0}"/>
              </c:ext>
            </c:extLst>
          </c:dPt>
          <c:dPt>
            <c:idx val="15"/>
            <c:invertIfNegative val="1"/>
            <c:bubble3D val="0"/>
            <c:spPr>
              <a:solidFill>
                <a:srgbClr val="EA847F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9-E74D-334F-A3DE-B3E217C96DB0}"/>
              </c:ext>
            </c:extLst>
          </c:dPt>
          <c:dPt>
            <c:idx val="16"/>
            <c:invertIfNegative val="1"/>
            <c:bubble3D val="0"/>
            <c:spPr>
              <a:solidFill>
                <a:srgbClr val="EA847F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B-E74D-334F-A3DE-B3E217C96DB0}"/>
              </c:ext>
            </c:extLst>
          </c:dPt>
          <c:dPt>
            <c:idx val="18"/>
            <c:invertIfNegative val="1"/>
            <c:bubble3D val="0"/>
            <c:spPr>
              <a:solidFill>
                <a:srgbClr val="BF91EB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D-E74D-334F-A3DE-B3E217C96DB0}"/>
              </c:ext>
            </c:extLst>
          </c:dPt>
          <c:dPt>
            <c:idx val="19"/>
            <c:invertIfNegative val="1"/>
            <c:bubble3D val="0"/>
            <c:spPr>
              <a:solidFill>
                <a:srgbClr val="BF91EB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F-E74D-334F-A3DE-B3E217C96DB0}"/>
              </c:ext>
            </c:extLst>
          </c:dPt>
          <c:dPt>
            <c:idx val="20"/>
            <c:invertIfNegative val="1"/>
            <c:bubble3D val="0"/>
            <c:spPr>
              <a:solidFill>
                <a:srgbClr val="BF91EB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11-E74D-334F-A3DE-B3E217C96DB0}"/>
              </c:ext>
            </c:extLst>
          </c:dPt>
          <c:dPt>
            <c:idx val="22"/>
            <c:invertIfNegative val="1"/>
            <c:bubble3D val="0"/>
            <c:spPr>
              <a:solidFill>
                <a:srgbClr val="94E9E9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13-E74D-334F-A3DE-B3E217C96DB0}"/>
              </c:ext>
            </c:extLst>
          </c:dPt>
          <c:dPt>
            <c:idx val="23"/>
            <c:invertIfNegative val="1"/>
            <c:bubble3D val="0"/>
            <c:spPr>
              <a:solidFill>
                <a:srgbClr val="94E9E9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15-E74D-334F-A3DE-B3E217C96DB0}"/>
              </c:ext>
            </c:extLst>
          </c:dPt>
          <c:dPt>
            <c:idx val="24"/>
            <c:invertIfNegative val="1"/>
            <c:bubble3D val="0"/>
            <c:spPr>
              <a:solidFill>
                <a:srgbClr val="94E9E9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17-E74D-334F-A3DE-B3E217C96DB0}"/>
              </c:ext>
            </c:extLst>
          </c:dPt>
          <c:dPt>
            <c:idx val="25"/>
            <c:invertIfNegative val="1"/>
            <c:bubble3D val="0"/>
            <c:spPr>
              <a:solidFill>
                <a:srgbClr val="94E9E9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19-E74D-334F-A3DE-B3E217C96DB0}"/>
              </c:ext>
            </c:extLst>
          </c:dPt>
          <c:dPt>
            <c:idx val="26"/>
            <c:invertIfNegative val="1"/>
            <c:bubble3D val="0"/>
            <c:spPr>
              <a:solidFill>
                <a:srgbClr val="94E9E9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1B-E74D-334F-A3DE-B3E217C96DB0}"/>
              </c:ext>
            </c:extLst>
          </c:dPt>
          <c:dPt>
            <c:idx val="27"/>
            <c:invertIfNegative val="1"/>
            <c:bubble3D val="0"/>
            <c:spPr>
              <a:solidFill>
                <a:srgbClr val="94E9E9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1D-E74D-334F-A3DE-B3E217C96DB0}"/>
              </c:ext>
            </c:extLst>
          </c:dPt>
          <c:dPt>
            <c:idx val="28"/>
            <c:invertIfNegative val="1"/>
            <c:bubble3D val="0"/>
            <c:spPr>
              <a:solidFill>
                <a:srgbClr val="94E9E9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1F-E74D-334F-A3DE-B3E217C96DB0}"/>
              </c:ext>
            </c:extLst>
          </c:dPt>
          <c:dPt>
            <c:idx val="29"/>
            <c:invertIfNegative val="1"/>
            <c:bubble3D val="0"/>
            <c:spPr>
              <a:solidFill>
                <a:srgbClr val="94E9E9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21-E74D-334F-A3DE-B3E217C96DB0}"/>
              </c:ext>
            </c:extLst>
          </c:dPt>
          <c:dPt>
            <c:idx val="30"/>
            <c:invertIfNegative val="1"/>
            <c:bubble3D val="0"/>
            <c:spPr>
              <a:solidFill>
                <a:srgbClr val="94E9E9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23-E74D-334F-A3DE-B3E217C96DB0}"/>
              </c:ext>
            </c:extLst>
          </c:dPt>
          <c:dPt>
            <c:idx val="31"/>
            <c:invertIfNegative val="1"/>
            <c:bubble3D val="0"/>
            <c:spPr>
              <a:solidFill>
                <a:srgbClr val="94E9E9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25-E74D-334F-A3DE-B3E217C96DB0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2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7-E74D-334F-A3DE-B3E217C96DB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1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8-E74D-334F-A3DE-B3E217C96DB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15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9-E74D-334F-A3DE-B3E217C96DB0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14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A-E74D-334F-A3DE-B3E217C96DB0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/>
                      <a:t>15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B-E74D-334F-A3DE-B3E217C96DB0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r>
                      <a:rPr lang="en-US"/>
                      <a:t>13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C-E74D-334F-A3DE-B3E217C96DB0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r>
                      <a:rPr lang="en-US"/>
                      <a:t>17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D-E74D-334F-A3DE-B3E217C96DB0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r>
                      <a:rPr lang="en-US"/>
                      <a:t>2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E-E74D-334F-A3DE-B3E217C96DB0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r>
                      <a:rPr lang="en-US"/>
                      <a:t>13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F-E74D-334F-A3DE-B3E217C96DB0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r>
                      <a:rPr lang="en-US"/>
                      <a:t>15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0-E74D-334F-A3DE-B3E217C96DB0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E74D-334F-A3DE-B3E217C96DB0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r>
                      <a:rPr lang="en-US"/>
                      <a:t>15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E74D-334F-A3DE-B3E217C96DB0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r>
                      <a:rPr lang="en-US"/>
                      <a:t>14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E74D-334F-A3DE-B3E217C96DB0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r>
                      <a:rPr lang="en-US"/>
                      <a:t>6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E74D-334F-A3DE-B3E217C96DB0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r>
                      <a:rPr lang="en-US"/>
                      <a:t>15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E74D-334F-A3DE-B3E217C96DB0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r>
                      <a:rPr lang="en-US"/>
                      <a:t>14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E74D-334F-A3DE-B3E217C96DB0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r>
                      <a:rPr lang="en-US"/>
                      <a:t>10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B-E74D-334F-A3DE-B3E217C96DB0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E74D-334F-A3DE-B3E217C96DB0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r>
                      <a:rPr lang="en-US"/>
                      <a:t>15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D-E74D-334F-A3DE-B3E217C96DB0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r>
                      <a:rPr lang="en-US"/>
                      <a:t>6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F-E74D-334F-A3DE-B3E217C96DB0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r>
                      <a:rPr lang="en-US"/>
                      <a:t>15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1-E74D-334F-A3DE-B3E217C96DB0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3-E74D-334F-A3DE-B3E217C96DB0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r>
                      <a:rPr lang="en-US"/>
                      <a:t>14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3-E74D-334F-A3DE-B3E217C96DB0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r>
                      <a:rPr lang="en-US"/>
                      <a:t>14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5-E74D-334F-A3DE-B3E217C96DB0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r>
                      <a:rPr lang="en-US"/>
                      <a:t>15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7-E74D-334F-A3DE-B3E217C96DB0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r>
                      <a:rPr lang="en-US"/>
                      <a:t>15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9-E74D-334F-A3DE-B3E217C96DB0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r>
                      <a:rPr lang="en-US"/>
                      <a:t>15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B-E74D-334F-A3DE-B3E217C96DB0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r>
                      <a:rPr lang="en-US"/>
                      <a:t>15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D-E74D-334F-A3DE-B3E217C96DB0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r>
                      <a:rPr lang="en-US"/>
                      <a:t>19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F-E74D-334F-A3DE-B3E217C96DB0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r>
                      <a:rPr lang="en-US"/>
                      <a:t>15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1-E74D-334F-A3DE-B3E217C96DB0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r>
                      <a:rPr lang="en-US"/>
                      <a:t>16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3-E74D-334F-A3DE-B3E217C96DB0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r>
                      <a:rPr lang="en-US"/>
                      <a:t>95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5-E74D-334F-A3DE-B3E217C96DB0}"/>
                </c:ext>
              </c:extLst>
            </c:dLbl>
            <c:numFmt formatCode="General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50"/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errBars>
            <c:errBarType val="both"/>
            <c:errValType val="cust"/>
            <c:noEndCap val="0"/>
            <c:plus>
              <c:numRef>
                <c:f>'Zea-Trial-1_Metadata_Avg'!$AP$126:$AP$157</c:f>
                <c:numCache>
                  <c:formatCode>General</c:formatCode>
                  <c:ptCount val="32"/>
                  <c:pt idx="0">
                    <c:v>0.5</c:v>
                  </c:pt>
                  <c:pt idx="1">
                    <c:v>0</c:v>
                  </c:pt>
                  <c:pt idx="2">
                    <c:v>0.30654241799999998</c:v>
                  </c:pt>
                  <c:pt idx="3">
                    <c:v>0.34541172799999997</c:v>
                  </c:pt>
                  <c:pt idx="4">
                    <c:v>0.335232684</c:v>
                  </c:pt>
                  <c:pt idx="5">
                    <c:v>0.355292473</c:v>
                  </c:pt>
                  <c:pt idx="6">
                    <c:v>0.41176470599999998</c:v>
                  </c:pt>
                  <c:pt idx="7">
                    <c:v>1</c:v>
                  </c:pt>
                  <c:pt idx="8">
                    <c:v>0.57047680700000003</c:v>
                  </c:pt>
                  <c:pt idx="9">
                    <c:v>0.326598632</c:v>
                  </c:pt>
                  <c:pt idx="11">
                    <c:v>0.37628088100000001</c:v>
                  </c:pt>
                  <c:pt idx="12">
                    <c:v>0.50117601099999998</c:v>
                  </c:pt>
                  <c:pt idx="13">
                    <c:v>0.30731814899999998</c:v>
                  </c:pt>
                  <c:pt idx="14">
                    <c:v>0.371184291</c:v>
                  </c:pt>
                  <c:pt idx="15">
                    <c:v>0.31759002200000003</c:v>
                  </c:pt>
                  <c:pt idx="16">
                    <c:v>0.24944382600000001</c:v>
                  </c:pt>
                  <c:pt idx="18">
                    <c:v>0.46</c:v>
                  </c:pt>
                  <c:pt idx="19">
                    <c:v>0.61</c:v>
                  </c:pt>
                  <c:pt idx="20">
                    <c:v>0.28999999999999998</c:v>
                  </c:pt>
                  <c:pt idx="22">
                    <c:v>0.14285714299999999</c:v>
                  </c:pt>
                  <c:pt idx="23">
                    <c:v>9.7052316999999999E-2</c:v>
                  </c:pt>
                  <c:pt idx="24">
                    <c:v>0.133333333</c:v>
                  </c:pt>
                  <c:pt idx="25">
                    <c:v>0.17</c:v>
                  </c:pt>
                  <c:pt idx="26">
                    <c:v>7.0000000000000007E-2</c:v>
                  </c:pt>
                  <c:pt idx="27">
                    <c:v>0.12</c:v>
                  </c:pt>
                  <c:pt idx="28">
                    <c:v>0.11</c:v>
                  </c:pt>
                  <c:pt idx="29">
                    <c:v>0.14000000000000001</c:v>
                  </c:pt>
                  <c:pt idx="30">
                    <c:v>0.15</c:v>
                  </c:pt>
                  <c:pt idx="31">
                    <c:v>5.3914925000000002E-2</c:v>
                  </c:pt>
                </c:numCache>
              </c:numRef>
            </c:plus>
            <c:minus>
              <c:numRef>
                <c:f>'Zea-Trial-1_Metadata_Avg'!$AP$126:$AP$157</c:f>
                <c:numCache>
                  <c:formatCode>General</c:formatCode>
                  <c:ptCount val="32"/>
                  <c:pt idx="0">
                    <c:v>0.5</c:v>
                  </c:pt>
                  <c:pt idx="1">
                    <c:v>0</c:v>
                  </c:pt>
                  <c:pt idx="2">
                    <c:v>0.30654241799999998</c:v>
                  </c:pt>
                  <c:pt idx="3">
                    <c:v>0.34541172799999997</c:v>
                  </c:pt>
                  <c:pt idx="4">
                    <c:v>0.335232684</c:v>
                  </c:pt>
                  <c:pt idx="5">
                    <c:v>0.355292473</c:v>
                  </c:pt>
                  <c:pt idx="6">
                    <c:v>0.41176470599999998</c:v>
                  </c:pt>
                  <c:pt idx="7">
                    <c:v>1</c:v>
                  </c:pt>
                  <c:pt idx="8">
                    <c:v>0.57047680700000003</c:v>
                  </c:pt>
                  <c:pt idx="9">
                    <c:v>0.326598632</c:v>
                  </c:pt>
                  <c:pt idx="11">
                    <c:v>0.37628088100000001</c:v>
                  </c:pt>
                  <c:pt idx="12">
                    <c:v>0.50117601099999998</c:v>
                  </c:pt>
                  <c:pt idx="13">
                    <c:v>0.30731814899999998</c:v>
                  </c:pt>
                  <c:pt idx="14">
                    <c:v>0.371184291</c:v>
                  </c:pt>
                  <c:pt idx="15">
                    <c:v>0.31759002200000003</c:v>
                  </c:pt>
                  <c:pt idx="16">
                    <c:v>0.24944382600000001</c:v>
                  </c:pt>
                  <c:pt idx="18">
                    <c:v>0.46</c:v>
                  </c:pt>
                  <c:pt idx="19">
                    <c:v>0.61</c:v>
                  </c:pt>
                  <c:pt idx="20">
                    <c:v>0.28999999999999998</c:v>
                  </c:pt>
                  <c:pt idx="22">
                    <c:v>0.14285714299999999</c:v>
                  </c:pt>
                  <c:pt idx="23">
                    <c:v>9.7052316999999999E-2</c:v>
                  </c:pt>
                  <c:pt idx="24">
                    <c:v>0.133333333</c:v>
                  </c:pt>
                  <c:pt idx="25">
                    <c:v>0.17</c:v>
                  </c:pt>
                  <c:pt idx="26">
                    <c:v>7.0000000000000007E-2</c:v>
                  </c:pt>
                  <c:pt idx="27">
                    <c:v>0.12</c:v>
                  </c:pt>
                  <c:pt idx="28">
                    <c:v>0.11</c:v>
                  </c:pt>
                  <c:pt idx="29">
                    <c:v>0.14000000000000001</c:v>
                  </c:pt>
                  <c:pt idx="30">
                    <c:v>0.15</c:v>
                  </c:pt>
                  <c:pt idx="31">
                    <c:v>5.3914925000000002E-2</c:v>
                  </c:pt>
                </c:numCache>
              </c:numRef>
            </c:minus>
          </c:errBars>
          <c:cat>
            <c:strRef>
              <c:f>'Zea-Trial-1_Metadata_Avg'!$B$126:$B$157</c:f>
              <c:strCache>
                <c:ptCount val="32"/>
                <c:pt idx="0">
                  <c:v>* Jaltepec de Candoyoc</c:v>
                </c:pt>
                <c:pt idx="1">
                  <c:v>* Moctum</c:v>
                </c:pt>
                <c:pt idx="2">
                  <c:v>* San Ildefonso Villa Alta</c:v>
                </c:pt>
                <c:pt idx="3">
                  <c:v>* Santa Maria Temaxcalapa</c:v>
                </c:pt>
                <c:pt idx="4">
                  <c:v>* Jala, Nayarit</c:v>
                </c:pt>
                <c:pt idx="5">
                  <c:v>* San Juan Comaltepec</c:v>
                </c:pt>
                <c:pt idx="6">
                  <c:v>* San Cristobal Lachirioag</c:v>
                </c:pt>
                <c:pt idx="7">
                  <c:v>* Santiago Choapam</c:v>
                </c:pt>
                <c:pt idx="8">
                  <c:v>* San Jose Chinantequilla</c:v>
                </c:pt>
                <c:pt idx="9">
                  <c:v>* Santiago Tepitongo</c:v>
                </c:pt>
                <c:pt idx="11">
                  <c:v>** Santa Maria Tiltepec</c:v>
                </c:pt>
                <c:pt idx="12">
                  <c:v>** Totontepec cultivar 3</c:v>
                </c:pt>
                <c:pt idx="13">
                  <c:v>** Venustiano Carranza, DG</c:v>
                </c:pt>
                <c:pt idx="14">
                  <c:v>** Totontepec cultivar 2</c:v>
                </c:pt>
                <c:pt idx="15">
                  <c:v>** San Miguel Metepec</c:v>
                </c:pt>
                <c:pt idx="16">
                  <c:v>** Totontepec cultivar 1</c:v>
                </c:pt>
                <c:pt idx="18">
                  <c:v>Teosinte - Mexicana</c:v>
                </c:pt>
                <c:pt idx="19">
                  <c:v>Teosinte - Diploperennis</c:v>
                </c:pt>
                <c:pt idx="20">
                  <c:v>Teosinte - Parviglumis</c:v>
                </c:pt>
                <c:pt idx="22">
                  <c:v>Mo17</c:v>
                </c:pt>
                <c:pt idx="23">
                  <c:v>B73</c:v>
                </c:pt>
                <c:pt idx="24">
                  <c:v>Hickory King</c:v>
                </c:pt>
                <c:pt idx="25">
                  <c:v>B73 x Mo17 (1A)</c:v>
                </c:pt>
                <c:pt idx="26">
                  <c:v>B73 x Mo17 (1D)</c:v>
                </c:pt>
                <c:pt idx="27">
                  <c:v>B73 x Mo17 (3C)</c:v>
                </c:pt>
                <c:pt idx="28">
                  <c:v>B73 x Mo17 (5B)</c:v>
                </c:pt>
                <c:pt idx="29">
                  <c:v>B73 x Mo17 (7A)</c:v>
                </c:pt>
                <c:pt idx="30">
                  <c:v>B73 x Mo17 (7D)</c:v>
                </c:pt>
                <c:pt idx="31">
                  <c:v>B73 x Mo17 (Avg.*)</c:v>
                </c:pt>
              </c:strCache>
            </c:strRef>
          </c:cat>
          <c:val>
            <c:numRef>
              <c:f>'Zea-Trial-1_Metadata_Avg'!$AM$126:$AM$157</c:f>
              <c:numCache>
                <c:formatCode>General</c:formatCode>
                <c:ptCount val="32"/>
                <c:pt idx="0">
                  <c:v>3.5</c:v>
                </c:pt>
                <c:pt idx="1">
                  <c:v>4</c:v>
                </c:pt>
                <c:pt idx="2">
                  <c:v>4.8666666669999996</c:v>
                </c:pt>
                <c:pt idx="3">
                  <c:v>3.8571428569999999</c:v>
                </c:pt>
                <c:pt idx="4">
                  <c:v>2.4</c:v>
                </c:pt>
                <c:pt idx="5">
                  <c:v>4.153846154</c:v>
                </c:pt>
                <c:pt idx="6">
                  <c:v>3.411764706</c:v>
                </c:pt>
                <c:pt idx="7">
                  <c:v>5</c:v>
                </c:pt>
                <c:pt idx="8">
                  <c:v>3.692307692</c:v>
                </c:pt>
                <c:pt idx="9">
                  <c:v>3.2</c:v>
                </c:pt>
                <c:pt idx="11">
                  <c:v>5.5333333329999999</c:v>
                </c:pt>
                <c:pt idx="12">
                  <c:v>3.8571428569999999</c:v>
                </c:pt>
                <c:pt idx="13">
                  <c:v>1.1666666670000001</c:v>
                </c:pt>
                <c:pt idx="14">
                  <c:v>4.266666667</c:v>
                </c:pt>
                <c:pt idx="15">
                  <c:v>3.2142857139999998</c:v>
                </c:pt>
                <c:pt idx="16">
                  <c:v>5.2</c:v>
                </c:pt>
                <c:pt idx="18">
                  <c:v>3.2</c:v>
                </c:pt>
                <c:pt idx="19">
                  <c:v>5.33</c:v>
                </c:pt>
                <c:pt idx="20">
                  <c:v>2.13</c:v>
                </c:pt>
                <c:pt idx="22">
                  <c:v>1.1428571430000001</c:v>
                </c:pt>
                <c:pt idx="23">
                  <c:v>1.8571428569999999</c:v>
                </c:pt>
                <c:pt idx="24">
                  <c:v>0.86666666699999995</c:v>
                </c:pt>
                <c:pt idx="25">
                  <c:v>1.2</c:v>
                </c:pt>
                <c:pt idx="26">
                  <c:v>0.93</c:v>
                </c:pt>
                <c:pt idx="27">
                  <c:v>0.73</c:v>
                </c:pt>
                <c:pt idx="28">
                  <c:v>1.1100000000000001</c:v>
                </c:pt>
                <c:pt idx="29">
                  <c:v>1</c:v>
                </c:pt>
                <c:pt idx="30">
                  <c:v>1.1299999999999999</c:v>
                </c:pt>
                <c:pt idx="31">
                  <c:v>1.021052632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19050" cmpd="sng">
                    <a:solidFill>
                      <a:srgbClr val="000000">
                        <a:alpha val="100000"/>
                      </a:srgbClr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26-E74D-334F-A3DE-B3E217C96DB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426458445"/>
        <c:axId val="1888575261"/>
      </c:barChart>
      <c:catAx>
        <c:axId val="4264584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1400" b="1" i="0">
                <a:solidFill>
                  <a:srgbClr val="000000"/>
                </a:solidFill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en-US"/>
          </a:p>
        </c:txPr>
        <c:crossAx val="1888575261"/>
        <c:crosses val="autoZero"/>
        <c:auto val="1"/>
        <c:lblAlgn val="ctr"/>
        <c:lblOffset val="100"/>
        <c:noMultiLvlLbl val="1"/>
      </c:catAx>
      <c:valAx>
        <c:axId val="188857526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sz="1800" b="1" i="0">
                    <a:solidFill>
                      <a:srgbClr val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defRPr>
                </a:pPr>
                <a:r>
                  <a:rPr lang="en-US" sz="1800" b="1" i="0">
                    <a:solidFill>
                      <a:srgbClr val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Aerial Root Node Count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600" b="0" i="0">
                <a:solidFill>
                  <a:srgbClr val="000000"/>
                </a:solidFill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en-US"/>
          </a:p>
        </c:txPr>
        <c:crossAx val="426458445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2000" b="1" i="0">
                <a:solidFill>
                  <a:srgbClr val="000000"/>
                </a:solidFill>
                <a:latin typeface="Arial" panose="020B0604020202020204" pitchFamily="34" charset="0"/>
                <a:cs typeface="Arial" panose="020B0604020202020204" pitchFamily="34" charset="0"/>
              </a:defRPr>
            </a:pPr>
            <a:r>
              <a:rPr lang="en-US" sz="2000" b="1" i="0">
                <a:solidFill>
                  <a:srgbClr val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Height Variation among Zea Subpopulations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T1 = 9 weeks</c:v>
          </c:tx>
          <c:spPr>
            <a:solidFill>
              <a:srgbClr val="6FA8DC"/>
            </a:solidFill>
            <a:ln w="19050" cmpd="sng">
              <a:solidFill>
                <a:srgbClr val="000000">
                  <a:alpha val="100000"/>
                </a:srgbClr>
              </a:solidFill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92D050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1-FD4E-FD4B-9EDC-89429A78A45E}"/>
              </c:ext>
            </c:extLst>
          </c:dPt>
          <c:dPt>
            <c:idx val="1"/>
            <c:invertIfNegative val="1"/>
            <c:bubble3D val="0"/>
            <c:spPr>
              <a:solidFill>
                <a:srgbClr val="92D050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3-FD4E-FD4B-9EDC-89429A78A45E}"/>
              </c:ext>
            </c:extLst>
          </c:dPt>
          <c:dPt>
            <c:idx val="2"/>
            <c:invertIfNegative val="1"/>
            <c:bubble3D val="0"/>
            <c:spPr>
              <a:solidFill>
                <a:srgbClr val="92D050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5-FD4E-FD4B-9EDC-89429A78A45E}"/>
              </c:ext>
            </c:extLst>
          </c:dPt>
          <c:dPt>
            <c:idx val="3"/>
            <c:invertIfNegative val="1"/>
            <c:bubble3D val="0"/>
            <c:spPr>
              <a:solidFill>
                <a:srgbClr val="92D050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7-FD4E-FD4B-9EDC-89429A78A45E}"/>
              </c:ext>
            </c:extLst>
          </c:dPt>
          <c:dPt>
            <c:idx val="4"/>
            <c:invertIfNegative val="1"/>
            <c:bubble3D val="0"/>
            <c:spPr>
              <a:solidFill>
                <a:srgbClr val="92D050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9-FD4E-FD4B-9EDC-89429A78A45E}"/>
              </c:ext>
            </c:extLst>
          </c:dPt>
          <c:dPt>
            <c:idx val="5"/>
            <c:invertIfNegative val="1"/>
            <c:bubble3D val="0"/>
            <c:spPr>
              <a:solidFill>
                <a:srgbClr val="92D050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B-FD4E-FD4B-9EDC-89429A78A45E}"/>
              </c:ext>
            </c:extLst>
          </c:dPt>
          <c:dPt>
            <c:idx val="6"/>
            <c:invertIfNegative val="1"/>
            <c:bubble3D val="0"/>
            <c:spPr>
              <a:solidFill>
                <a:srgbClr val="92D050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D-FD4E-FD4B-9EDC-89429A78A45E}"/>
              </c:ext>
            </c:extLst>
          </c:dPt>
          <c:dPt>
            <c:idx val="7"/>
            <c:invertIfNegative val="1"/>
            <c:bubble3D val="0"/>
            <c:spPr>
              <a:solidFill>
                <a:srgbClr val="92D050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F-FD4E-FD4B-9EDC-89429A78A45E}"/>
              </c:ext>
            </c:extLst>
          </c:dPt>
          <c:dPt>
            <c:idx val="8"/>
            <c:invertIfNegative val="1"/>
            <c:bubble3D val="0"/>
            <c:spPr>
              <a:solidFill>
                <a:srgbClr val="92D050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11-FD4E-FD4B-9EDC-89429A78A45E}"/>
              </c:ext>
            </c:extLst>
          </c:dPt>
          <c:dPt>
            <c:idx val="9"/>
            <c:invertIfNegative val="1"/>
            <c:bubble3D val="0"/>
            <c:spPr>
              <a:solidFill>
                <a:srgbClr val="92D050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13-FD4E-FD4B-9EDC-89429A78A45E}"/>
              </c:ext>
            </c:extLst>
          </c:dPt>
          <c:dPt>
            <c:idx val="11"/>
            <c:invertIfNegative val="1"/>
            <c:bubble3D val="0"/>
            <c:spPr>
              <a:solidFill>
                <a:srgbClr val="EA847F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15-FD4E-FD4B-9EDC-89429A78A45E}"/>
              </c:ext>
            </c:extLst>
          </c:dPt>
          <c:dPt>
            <c:idx val="12"/>
            <c:invertIfNegative val="1"/>
            <c:bubble3D val="0"/>
            <c:spPr>
              <a:solidFill>
                <a:srgbClr val="EA847F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17-FD4E-FD4B-9EDC-89429A78A45E}"/>
              </c:ext>
            </c:extLst>
          </c:dPt>
          <c:dPt>
            <c:idx val="13"/>
            <c:invertIfNegative val="1"/>
            <c:bubble3D val="0"/>
            <c:spPr>
              <a:solidFill>
                <a:srgbClr val="EA847F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19-FD4E-FD4B-9EDC-89429A78A45E}"/>
              </c:ext>
            </c:extLst>
          </c:dPt>
          <c:dPt>
            <c:idx val="14"/>
            <c:invertIfNegative val="1"/>
            <c:bubble3D val="0"/>
            <c:spPr>
              <a:solidFill>
                <a:srgbClr val="EA847F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1B-FD4E-FD4B-9EDC-89429A78A45E}"/>
              </c:ext>
            </c:extLst>
          </c:dPt>
          <c:dPt>
            <c:idx val="15"/>
            <c:invertIfNegative val="1"/>
            <c:bubble3D val="0"/>
            <c:spPr>
              <a:solidFill>
                <a:srgbClr val="EA847F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1D-FD4E-FD4B-9EDC-89429A78A45E}"/>
              </c:ext>
            </c:extLst>
          </c:dPt>
          <c:dPt>
            <c:idx val="16"/>
            <c:invertIfNegative val="1"/>
            <c:bubble3D val="0"/>
            <c:spPr>
              <a:solidFill>
                <a:srgbClr val="EA847F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1F-FD4E-FD4B-9EDC-89429A78A45E}"/>
              </c:ext>
            </c:extLst>
          </c:dPt>
          <c:dPt>
            <c:idx val="18"/>
            <c:invertIfNegative val="1"/>
            <c:bubble3D val="0"/>
            <c:spPr>
              <a:solidFill>
                <a:srgbClr val="BF91EB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21-FD4E-FD4B-9EDC-89429A78A45E}"/>
              </c:ext>
            </c:extLst>
          </c:dPt>
          <c:dPt>
            <c:idx val="19"/>
            <c:invertIfNegative val="1"/>
            <c:bubble3D val="0"/>
            <c:spPr>
              <a:solidFill>
                <a:srgbClr val="BF91EB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23-FD4E-FD4B-9EDC-89429A78A45E}"/>
              </c:ext>
            </c:extLst>
          </c:dPt>
          <c:dPt>
            <c:idx val="20"/>
            <c:invertIfNegative val="1"/>
            <c:bubble3D val="0"/>
            <c:spPr>
              <a:solidFill>
                <a:srgbClr val="BF91EB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25-FD4E-FD4B-9EDC-89429A78A45E}"/>
              </c:ext>
            </c:extLst>
          </c:dPt>
          <c:dPt>
            <c:idx val="22"/>
            <c:invertIfNegative val="1"/>
            <c:bubble3D val="0"/>
            <c:spPr>
              <a:solidFill>
                <a:srgbClr val="94E9E9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27-FD4E-FD4B-9EDC-89429A78A45E}"/>
              </c:ext>
            </c:extLst>
          </c:dPt>
          <c:dPt>
            <c:idx val="23"/>
            <c:invertIfNegative val="1"/>
            <c:bubble3D val="0"/>
            <c:spPr>
              <a:solidFill>
                <a:srgbClr val="94E9E9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28-FD4E-FD4B-9EDC-89429A78A45E}"/>
              </c:ext>
            </c:extLst>
          </c:dPt>
          <c:dPt>
            <c:idx val="24"/>
            <c:invertIfNegative val="1"/>
            <c:bubble3D val="0"/>
            <c:spPr>
              <a:solidFill>
                <a:srgbClr val="94E9E9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29-FD4E-FD4B-9EDC-89429A78A45E}"/>
              </c:ext>
            </c:extLst>
          </c:dPt>
          <c:dPt>
            <c:idx val="25"/>
            <c:invertIfNegative val="1"/>
            <c:bubble3D val="0"/>
            <c:spPr>
              <a:solidFill>
                <a:srgbClr val="94E9E9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2A-FD4E-FD4B-9EDC-89429A78A45E}"/>
              </c:ext>
            </c:extLst>
          </c:dPt>
          <c:dPt>
            <c:idx val="26"/>
            <c:invertIfNegative val="1"/>
            <c:bubble3D val="0"/>
            <c:spPr>
              <a:solidFill>
                <a:srgbClr val="94E9E9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2B-FD4E-FD4B-9EDC-89429A78A45E}"/>
              </c:ext>
            </c:extLst>
          </c:dPt>
          <c:dPt>
            <c:idx val="27"/>
            <c:invertIfNegative val="1"/>
            <c:bubble3D val="0"/>
            <c:spPr>
              <a:solidFill>
                <a:srgbClr val="94E9E9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2C-FD4E-FD4B-9EDC-89429A78A45E}"/>
              </c:ext>
            </c:extLst>
          </c:dPt>
          <c:dPt>
            <c:idx val="28"/>
            <c:invertIfNegative val="1"/>
            <c:bubble3D val="0"/>
            <c:spPr>
              <a:solidFill>
                <a:srgbClr val="94E9E9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2D-FD4E-FD4B-9EDC-89429A78A45E}"/>
              </c:ext>
            </c:extLst>
          </c:dPt>
          <c:dPt>
            <c:idx val="29"/>
            <c:invertIfNegative val="1"/>
            <c:bubble3D val="0"/>
            <c:spPr>
              <a:solidFill>
                <a:srgbClr val="94E9E9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2E-FD4E-FD4B-9EDC-89429A78A45E}"/>
              </c:ext>
            </c:extLst>
          </c:dPt>
          <c:dPt>
            <c:idx val="30"/>
            <c:invertIfNegative val="1"/>
            <c:bubble3D val="0"/>
            <c:spPr>
              <a:solidFill>
                <a:srgbClr val="94E9E9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2F-FD4E-FD4B-9EDC-89429A78A45E}"/>
              </c:ext>
            </c:extLst>
          </c:dPt>
          <c:dPt>
            <c:idx val="31"/>
            <c:invertIfNegative val="1"/>
            <c:bubble3D val="0"/>
            <c:spPr>
              <a:solidFill>
                <a:srgbClr val="94E9E9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30-FD4E-FD4B-9EDC-89429A78A45E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2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FD4E-FD4B-9EDC-89429A78A45E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1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FD4E-FD4B-9EDC-89429A78A45E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15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FD4E-FD4B-9EDC-89429A78A45E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14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FD4E-FD4B-9EDC-89429A78A45E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/>
                      <a:t>15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FD4E-FD4B-9EDC-89429A78A45E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r>
                      <a:rPr lang="en-US"/>
                      <a:t>13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B-FD4E-FD4B-9EDC-89429A78A45E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r>
                      <a:rPr lang="en-US"/>
                      <a:t>17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D-FD4E-FD4B-9EDC-89429A78A45E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r>
                      <a:rPr lang="en-US"/>
                      <a:t>2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F-FD4E-FD4B-9EDC-89429A78A45E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r>
                      <a:rPr lang="en-US"/>
                      <a:t>13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1-FD4E-FD4B-9EDC-89429A78A45E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r>
                      <a:rPr lang="en-US"/>
                      <a:t>15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3-FD4E-FD4B-9EDC-89429A78A45E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FD4E-FD4B-9EDC-89429A78A45E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r>
                      <a:rPr lang="en-US"/>
                      <a:t>15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5-FD4E-FD4B-9EDC-89429A78A45E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r>
                      <a:rPr lang="en-US"/>
                      <a:t>14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7-FD4E-FD4B-9EDC-89429A78A45E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r>
                      <a:rPr lang="en-US"/>
                      <a:t>6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9-FD4E-FD4B-9EDC-89429A78A45E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r>
                      <a:rPr lang="en-US"/>
                      <a:t>15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B-FD4E-FD4B-9EDC-89429A78A45E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r>
                      <a:rPr lang="en-US"/>
                      <a:t>14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D-FD4E-FD4B-9EDC-89429A78A45E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r>
                      <a:rPr lang="en-US"/>
                      <a:t>10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F-FD4E-FD4B-9EDC-89429A78A45E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FD4E-FD4B-9EDC-89429A78A45E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r>
                      <a:rPr lang="en-US"/>
                      <a:t>15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1-FD4E-FD4B-9EDC-89429A78A45E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r>
                      <a:rPr lang="en-US"/>
                      <a:t>6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3-FD4E-FD4B-9EDC-89429A78A45E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r>
                      <a:rPr lang="en-US"/>
                      <a:t>15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5-FD4E-FD4B-9EDC-89429A78A45E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3-FD4E-FD4B-9EDC-89429A78A45E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r>
                      <a:rPr lang="en-US"/>
                      <a:t>14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7-FD4E-FD4B-9EDC-89429A78A45E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r>
                      <a:rPr lang="en-US"/>
                      <a:t>14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8-FD4E-FD4B-9EDC-89429A78A45E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r>
                      <a:rPr lang="en-US"/>
                      <a:t>15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9-FD4E-FD4B-9EDC-89429A78A45E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r>
                      <a:rPr lang="en-US"/>
                      <a:t>15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A-FD4E-FD4B-9EDC-89429A78A45E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r>
                      <a:rPr lang="en-US"/>
                      <a:t>15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B-FD4E-FD4B-9EDC-89429A78A45E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r>
                      <a:rPr lang="en-US"/>
                      <a:t>15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C-FD4E-FD4B-9EDC-89429A78A45E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r>
                      <a:rPr lang="en-US"/>
                      <a:t>18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D-FD4E-FD4B-9EDC-89429A78A45E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r>
                      <a:rPr lang="en-US"/>
                      <a:t>15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E-FD4E-FD4B-9EDC-89429A78A45E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r>
                      <a:rPr lang="en-US"/>
                      <a:t>16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F-FD4E-FD4B-9EDC-89429A78A45E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r>
                      <a:rPr lang="en-US"/>
                      <a:t>94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0-FD4E-FD4B-9EDC-89429A78A45E}"/>
                </c:ext>
              </c:extLst>
            </c:dLbl>
            <c:numFmt formatCode="General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 anchorCtr="0">
                <a:spAutoFit/>
              </a:bodyPr>
              <a:lstStyle/>
              <a:p>
                <a:pPr>
                  <a:defRPr sz="1050"/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errBars>
            <c:errBarType val="both"/>
            <c:errValType val="cust"/>
            <c:noEndCap val="0"/>
            <c:plus>
              <c:numRef>
                <c:f>'Zea-Trial-1_Metadata_Avg'!$BN$126:$BN$157</c:f>
                <c:numCache>
                  <c:formatCode>General</c:formatCode>
                  <c:ptCount val="32"/>
                  <c:pt idx="0">
                    <c:v>7.9375</c:v>
                  </c:pt>
                  <c:pt idx="1">
                    <c:v>0</c:v>
                  </c:pt>
                  <c:pt idx="2">
                    <c:v>9.3936462977600002</c:v>
                  </c:pt>
                  <c:pt idx="3">
                    <c:v>8.9809609788600007</c:v>
                  </c:pt>
                  <c:pt idx="4">
                    <c:v>11.287020270719999</c:v>
                  </c:pt>
                  <c:pt idx="5">
                    <c:v>9.0949836438800009</c:v>
                  </c:pt>
                  <c:pt idx="6">
                    <c:v>7.4723622891799995</c:v>
                  </c:pt>
                  <c:pt idx="7">
                    <c:v>13.0175</c:v>
                  </c:pt>
                  <c:pt idx="8">
                    <c:v>12.07913139922</c:v>
                  </c:pt>
                  <c:pt idx="9">
                    <c:v>5.1320702413000001</c:v>
                  </c:pt>
                  <c:pt idx="11">
                    <c:v>6.8323794340199999</c:v>
                  </c:pt>
                  <c:pt idx="12">
                    <c:v>11.46936358142</c:v>
                  </c:pt>
                  <c:pt idx="13">
                    <c:v>8.8116657929399995</c:v>
                  </c:pt>
                  <c:pt idx="14">
                    <c:v>7.5894149430599995</c:v>
                  </c:pt>
                  <c:pt idx="15">
                    <c:v>12.686416745479999</c:v>
                  </c:pt>
                  <c:pt idx="16">
                    <c:v>14.806745250560001</c:v>
                  </c:pt>
                  <c:pt idx="18">
                    <c:v>9.19</c:v>
                  </c:pt>
                  <c:pt idx="19">
                    <c:v>9.9</c:v>
                  </c:pt>
                  <c:pt idx="20">
                    <c:v>8.4700000000000006</c:v>
                  </c:pt>
                  <c:pt idx="22">
                    <c:v>4.2305765324799998</c:v>
                  </c:pt>
                  <c:pt idx="23">
                    <c:v>4.8971013005200001</c:v>
                  </c:pt>
                  <c:pt idx="24">
                    <c:v>8.6454812561200001</c:v>
                  </c:pt>
                  <c:pt idx="25">
                    <c:v>4.09</c:v>
                  </c:pt>
                  <c:pt idx="26">
                    <c:v>4.97</c:v>
                  </c:pt>
                  <c:pt idx="27">
                    <c:v>2.91</c:v>
                  </c:pt>
                  <c:pt idx="28">
                    <c:v>2.52</c:v>
                  </c:pt>
                  <c:pt idx="29">
                    <c:v>4.96</c:v>
                  </c:pt>
                  <c:pt idx="30">
                    <c:v>5.29</c:v>
                  </c:pt>
                  <c:pt idx="31">
                    <c:v>1.9652473191800002</c:v>
                  </c:pt>
                </c:numCache>
              </c:numRef>
            </c:plus>
            <c:minus>
              <c:numRef>
                <c:f>'Zea-Trial-1_Metadata_Avg'!$BN$126:$BN$157</c:f>
                <c:numCache>
                  <c:formatCode>General</c:formatCode>
                  <c:ptCount val="32"/>
                  <c:pt idx="0">
                    <c:v>7.9375</c:v>
                  </c:pt>
                  <c:pt idx="1">
                    <c:v>0</c:v>
                  </c:pt>
                  <c:pt idx="2">
                    <c:v>9.3936462977600002</c:v>
                  </c:pt>
                  <c:pt idx="3">
                    <c:v>8.9809609788600007</c:v>
                  </c:pt>
                  <c:pt idx="4">
                    <c:v>11.287020270719999</c:v>
                  </c:pt>
                  <c:pt idx="5">
                    <c:v>9.0949836438800009</c:v>
                  </c:pt>
                  <c:pt idx="6">
                    <c:v>7.4723622891799995</c:v>
                  </c:pt>
                  <c:pt idx="7">
                    <c:v>13.0175</c:v>
                  </c:pt>
                  <c:pt idx="8">
                    <c:v>12.07913139922</c:v>
                  </c:pt>
                  <c:pt idx="9">
                    <c:v>5.1320702413000001</c:v>
                  </c:pt>
                  <c:pt idx="11">
                    <c:v>6.8323794340199999</c:v>
                  </c:pt>
                  <c:pt idx="12">
                    <c:v>11.46936358142</c:v>
                  </c:pt>
                  <c:pt idx="13">
                    <c:v>8.8116657929399995</c:v>
                  </c:pt>
                  <c:pt idx="14">
                    <c:v>7.5894149430599995</c:v>
                  </c:pt>
                  <c:pt idx="15">
                    <c:v>12.686416745479999</c:v>
                  </c:pt>
                  <c:pt idx="16">
                    <c:v>14.806745250560001</c:v>
                  </c:pt>
                  <c:pt idx="18">
                    <c:v>9.19</c:v>
                  </c:pt>
                  <c:pt idx="19">
                    <c:v>9.9</c:v>
                  </c:pt>
                  <c:pt idx="20">
                    <c:v>8.4700000000000006</c:v>
                  </c:pt>
                  <c:pt idx="22">
                    <c:v>4.2305765324799998</c:v>
                  </c:pt>
                  <c:pt idx="23">
                    <c:v>4.8971013005200001</c:v>
                  </c:pt>
                  <c:pt idx="24">
                    <c:v>8.6454812561200001</c:v>
                  </c:pt>
                  <c:pt idx="25">
                    <c:v>4.09</c:v>
                  </c:pt>
                  <c:pt idx="26">
                    <c:v>4.97</c:v>
                  </c:pt>
                  <c:pt idx="27">
                    <c:v>2.91</c:v>
                  </c:pt>
                  <c:pt idx="28">
                    <c:v>2.52</c:v>
                  </c:pt>
                  <c:pt idx="29">
                    <c:v>4.96</c:v>
                  </c:pt>
                  <c:pt idx="30">
                    <c:v>5.29</c:v>
                  </c:pt>
                  <c:pt idx="31">
                    <c:v>1.9652473191800002</c:v>
                  </c:pt>
                </c:numCache>
              </c:numRef>
            </c:minus>
          </c:errBars>
          <c:cat>
            <c:strRef>
              <c:f>'Zea-Trial-1_Metadata_Avg'!$B$126:$B$157</c:f>
              <c:strCache>
                <c:ptCount val="32"/>
                <c:pt idx="0">
                  <c:v>* Jaltepec de Candoyoc</c:v>
                </c:pt>
                <c:pt idx="1">
                  <c:v>* Moctum</c:v>
                </c:pt>
                <c:pt idx="2">
                  <c:v>* San Ildefonso Villa Alta</c:v>
                </c:pt>
                <c:pt idx="3">
                  <c:v>* Santa Maria Temaxcalapa</c:v>
                </c:pt>
                <c:pt idx="4">
                  <c:v>* Jala, Nayarit</c:v>
                </c:pt>
                <c:pt idx="5">
                  <c:v>* San Juan Comaltepec</c:v>
                </c:pt>
                <c:pt idx="6">
                  <c:v>* San Cristobal Lachirioag</c:v>
                </c:pt>
                <c:pt idx="7">
                  <c:v>* Santiago Choapam</c:v>
                </c:pt>
                <c:pt idx="8">
                  <c:v>* San Jose Chinantequilla</c:v>
                </c:pt>
                <c:pt idx="9">
                  <c:v>* Santiago Tepitongo</c:v>
                </c:pt>
                <c:pt idx="11">
                  <c:v>** Santa Maria Tiltepec</c:v>
                </c:pt>
                <c:pt idx="12">
                  <c:v>** Totontepec cultivar 3</c:v>
                </c:pt>
                <c:pt idx="13">
                  <c:v>** Venustiano Carranza, DG</c:v>
                </c:pt>
                <c:pt idx="14">
                  <c:v>** Totontepec cultivar 2</c:v>
                </c:pt>
                <c:pt idx="15">
                  <c:v>** San Miguel Metepec</c:v>
                </c:pt>
                <c:pt idx="16">
                  <c:v>** Totontepec cultivar 1</c:v>
                </c:pt>
                <c:pt idx="18">
                  <c:v>Teosinte - Mexicana</c:v>
                </c:pt>
                <c:pt idx="19">
                  <c:v>Teosinte - Diploperennis</c:v>
                </c:pt>
                <c:pt idx="20">
                  <c:v>Teosinte - Parviglumis</c:v>
                </c:pt>
                <c:pt idx="22">
                  <c:v>Mo17</c:v>
                </c:pt>
                <c:pt idx="23">
                  <c:v>B73</c:v>
                </c:pt>
                <c:pt idx="24">
                  <c:v>Hickory King</c:v>
                </c:pt>
                <c:pt idx="25">
                  <c:v>B73 x Mo17 (1A)</c:v>
                </c:pt>
                <c:pt idx="26">
                  <c:v>B73 x Mo17 (1D)</c:v>
                </c:pt>
                <c:pt idx="27">
                  <c:v>B73 x Mo17 (3C)</c:v>
                </c:pt>
                <c:pt idx="28">
                  <c:v>B73 x Mo17 (5B)</c:v>
                </c:pt>
                <c:pt idx="29">
                  <c:v>B73 x Mo17 (7A)</c:v>
                </c:pt>
                <c:pt idx="30">
                  <c:v>B73 x Mo17 (7D)</c:v>
                </c:pt>
                <c:pt idx="31">
                  <c:v>B73 x Mo17 (Avg.*)</c:v>
                </c:pt>
              </c:strCache>
            </c:strRef>
          </c:cat>
          <c:val>
            <c:numRef>
              <c:f>'Zea-Trial-1_Metadata_Avg'!$BK$126:$BK$157</c:f>
              <c:numCache>
                <c:formatCode>General</c:formatCode>
                <c:ptCount val="32"/>
                <c:pt idx="0">
                  <c:v>282.89249999999998</c:v>
                </c:pt>
                <c:pt idx="1">
                  <c:v>264.16000000000003</c:v>
                </c:pt>
                <c:pt idx="2">
                  <c:v>241.9062133418</c:v>
                </c:pt>
                <c:pt idx="3">
                  <c:v>342.17428567799999</c:v>
                </c:pt>
                <c:pt idx="4">
                  <c:v>304.673</c:v>
                </c:pt>
                <c:pt idx="5">
                  <c:v>354.86926155800001</c:v>
                </c:pt>
                <c:pt idx="6">
                  <c:v>329.60235298599997</c:v>
                </c:pt>
                <c:pt idx="7">
                  <c:v>350.83749999999998</c:v>
                </c:pt>
                <c:pt idx="8">
                  <c:v>278.76499999999999</c:v>
                </c:pt>
                <c:pt idx="9">
                  <c:v>302.429333418</c:v>
                </c:pt>
                <c:pt idx="11">
                  <c:v>363.58237341800003</c:v>
                </c:pt>
                <c:pt idx="12">
                  <c:v>310.06142864399999</c:v>
                </c:pt>
                <c:pt idx="13">
                  <c:v>176.42416665819999</c:v>
                </c:pt>
                <c:pt idx="14">
                  <c:v>368.63866658200004</c:v>
                </c:pt>
                <c:pt idx="15">
                  <c:v>243.97607143220003</c:v>
                </c:pt>
                <c:pt idx="16">
                  <c:v>348.99600000000004</c:v>
                </c:pt>
                <c:pt idx="18">
                  <c:v>302.01</c:v>
                </c:pt>
                <c:pt idx="19">
                  <c:v>142.13</c:v>
                </c:pt>
                <c:pt idx="20">
                  <c:v>191.43</c:v>
                </c:pt>
                <c:pt idx="22">
                  <c:v>134.12107143219998</c:v>
                </c:pt>
                <c:pt idx="23">
                  <c:v>121.42107143219999</c:v>
                </c:pt>
                <c:pt idx="24">
                  <c:v>160.6973333418</c:v>
                </c:pt>
                <c:pt idx="25">
                  <c:v>178.14</c:v>
                </c:pt>
                <c:pt idx="26">
                  <c:v>161.88</c:v>
                </c:pt>
                <c:pt idx="27">
                  <c:v>160.87</c:v>
                </c:pt>
                <c:pt idx="28">
                  <c:v>156.1</c:v>
                </c:pt>
                <c:pt idx="29">
                  <c:v>146.85</c:v>
                </c:pt>
                <c:pt idx="30">
                  <c:v>149.6</c:v>
                </c:pt>
                <c:pt idx="31">
                  <c:v>158.7197361794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19050" cmpd="sng">
                    <a:solidFill>
                      <a:srgbClr val="000000">
                        <a:alpha val="100000"/>
                      </a:srgbClr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26-FD4E-FD4B-9EDC-89429A78A45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677034948"/>
        <c:axId val="514904194"/>
      </c:barChart>
      <c:catAx>
        <c:axId val="16770349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1400" b="1" i="0">
                <a:solidFill>
                  <a:srgbClr val="000000"/>
                </a:solidFill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en-US"/>
          </a:p>
        </c:txPr>
        <c:crossAx val="514904194"/>
        <c:crosses val="autoZero"/>
        <c:auto val="1"/>
        <c:lblAlgn val="ctr"/>
        <c:lblOffset val="100"/>
        <c:noMultiLvlLbl val="1"/>
      </c:catAx>
      <c:valAx>
        <c:axId val="51490419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sz="1800" b="1" i="0">
                    <a:solidFill>
                      <a:srgbClr val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defRPr>
                </a:pPr>
                <a:r>
                  <a:rPr lang="en-US" sz="1800" b="1" i="0">
                    <a:solidFill>
                      <a:srgbClr val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Height (cm)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600" b="0" i="0">
                <a:solidFill>
                  <a:srgbClr val="000000"/>
                </a:solidFill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en-US"/>
          </a:p>
        </c:txPr>
        <c:crossAx val="1677034948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2000" b="1" i="0">
                <a:solidFill>
                  <a:srgbClr val="000000"/>
                </a:solidFill>
                <a:latin typeface="Arial" panose="020B0604020202020204" pitchFamily="34" charset="0"/>
                <a:cs typeface="Arial" panose="020B0604020202020204" pitchFamily="34" charset="0"/>
              </a:defRPr>
            </a:pPr>
            <a:r>
              <a:rPr lang="en-US" sz="2000" b="1" i="0">
                <a:solidFill>
                  <a:srgbClr val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Days to Pollen Shed for Zea Subpopulations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T1 = 9 weeks</c:v>
          </c:tx>
          <c:spPr>
            <a:solidFill>
              <a:srgbClr val="92D050"/>
            </a:solidFill>
            <a:ln w="19050" cmpd="sng">
              <a:solidFill>
                <a:srgbClr val="000000">
                  <a:alpha val="100000"/>
                </a:srgbClr>
              </a:solidFill>
            </a:ln>
          </c:spPr>
          <c:invertIfNegative val="1"/>
          <c:dPt>
            <c:idx val="11"/>
            <c:invertIfNegative val="1"/>
            <c:bubble3D val="0"/>
            <c:spPr>
              <a:solidFill>
                <a:srgbClr val="EA847F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1-17DF-6C4D-A900-99E0381E48B4}"/>
              </c:ext>
            </c:extLst>
          </c:dPt>
          <c:dPt>
            <c:idx val="12"/>
            <c:invertIfNegative val="1"/>
            <c:bubble3D val="0"/>
            <c:spPr>
              <a:solidFill>
                <a:srgbClr val="EA847F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3-17DF-6C4D-A900-99E0381E48B4}"/>
              </c:ext>
            </c:extLst>
          </c:dPt>
          <c:dPt>
            <c:idx val="13"/>
            <c:invertIfNegative val="1"/>
            <c:bubble3D val="0"/>
            <c:spPr>
              <a:solidFill>
                <a:srgbClr val="EA847F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5-17DF-6C4D-A900-99E0381E48B4}"/>
              </c:ext>
            </c:extLst>
          </c:dPt>
          <c:dPt>
            <c:idx val="14"/>
            <c:invertIfNegative val="1"/>
            <c:bubble3D val="0"/>
            <c:spPr>
              <a:solidFill>
                <a:srgbClr val="EA847F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7-17DF-6C4D-A900-99E0381E48B4}"/>
              </c:ext>
            </c:extLst>
          </c:dPt>
          <c:dPt>
            <c:idx val="15"/>
            <c:invertIfNegative val="1"/>
            <c:bubble3D val="0"/>
            <c:spPr>
              <a:solidFill>
                <a:srgbClr val="EA847F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9-17DF-6C4D-A900-99E0381E48B4}"/>
              </c:ext>
            </c:extLst>
          </c:dPt>
          <c:dPt>
            <c:idx val="16"/>
            <c:invertIfNegative val="1"/>
            <c:bubble3D val="0"/>
            <c:spPr>
              <a:solidFill>
                <a:srgbClr val="EA847F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B-17DF-6C4D-A900-99E0381E48B4}"/>
              </c:ext>
            </c:extLst>
          </c:dPt>
          <c:dPt>
            <c:idx val="18"/>
            <c:invertIfNegative val="1"/>
            <c:bubble3D val="0"/>
            <c:spPr>
              <a:solidFill>
                <a:srgbClr val="BF91EB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D-17DF-6C4D-A900-99E0381E48B4}"/>
              </c:ext>
            </c:extLst>
          </c:dPt>
          <c:dPt>
            <c:idx val="22"/>
            <c:invertIfNegative val="1"/>
            <c:bubble3D val="0"/>
            <c:spPr>
              <a:solidFill>
                <a:srgbClr val="94E9E9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F-17DF-6C4D-A900-99E0381E48B4}"/>
              </c:ext>
            </c:extLst>
          </c:dPt>
          <c:dPt>
            <c:idx val="23"/>
            <c:invertIfNegative val="1"/>
            <c:bubble3D val="0"/>
            <c:spPr>
              <a:solidFill>
                <a:srgbClr val="94E9E9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11-17DF-6C4D-A900-99E0381E48B4}"/>
              </c:ext>
            </c:extLst>
          </c:dPt>
          <c:dPt>
            <c:idx val="24"/>
            <c:invertIfNegative val="1"/>
            <c:bubble3D val="0"/>
            <c:spPr>
              <a:solidFill>
                <a:srgbClr val="94E9E9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13-17DF-6C4D-A900-99E0381E48B4}"/>
              </c:ext>
            </c:extLst>
          </c:dPt>
          <c:dPt>
            <c:idx val="25"/>
            <c:invertIfNegative val="1"/>
            <c:bubble3D val="0"/>
            <c:spPr>
              <a:solidFill>
                <a:srgbClr val="94E9E9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15-17DF-6C4D-A900-99E0381E48B4}"/>
              </c:ext>
            </c:extLst>
          </c:dPt>
          <c:dPt>
            <c:idx val="26"/>
            <c:invertIfNegative val="1"/>
            <c:bubble3D val="0"/>
            <c:spPr>
              <a:solidFill>
                <a:srgbClr val="94E9E9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17-17DF-6C4D-A900-99E0381E48B4}"/>
              </c:ext>
            </c:extLst>
          </c:dPt>
          <c:dPt>
            <c:idx val="27"/>
            <c:invertIfNegative val="1"/>
            <c:bubble3D val="0"/>
            <c:spPr>
              <a:solidFill>
                <a:srgbClr val="94E9E9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19-17DF-6C4D-A900-99E0381E48B4}"/>
              </c:ext>
            </c:extLst>
          </c:dPt>
          <c:dPt>
            <c:idx val="28"/>
            <c:invertIfNegative val="1"/>
            <c:bubble3D val="0"/>
            <c:spPr>
              <a:solidFill>
                <a:srgbClr val="94E9E9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1B-17DF-6C4D-A900-99E0381E48B4}"/>
              </c:ext>
            </c:extLst>
          </c:dPt>
          <c:dPt>
            <c:idx val="29"/>
            <c:invertIfNegative val="1"/>
            <c:bubble3D val="0"/>
            <c:spPr>
              <a:solidFill>
                <a:srgbClr val="94E9E9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1D-17DF-6C4D-A900-99E0381E48B4}"/>
              </c:ext>
            </c:extLst>
          </c:dPt>
          <c:dPt>
            <c:idx val="30"/>
            <c:invertIfNegative val="1"/>
            <c:bubble3D val="0"/>
            <c:spPr>
              <a:solidFill>
                <a:srgbClr val="94E9E9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1F-17DF-6C4D-A900-99E0381E48B4}"/>
              </c:ext>
            </c:extLst>
          </c:dPt>
          <c:dPt>
            <c:idx val="31"/>
            <c:invertIfNegative val="1"/>
            <c:bubble3D val="0"/>
            <c:spPr>
              <a:solidFill>
                <a:srgbClr val="94E9E9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21-17DF-6C4D-A900-99E0381E48B4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2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3-17DF-6C4D-A900-99E0381E48B4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1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4-17DF-6C4D-A900-99E0381E48B4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15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5-17DF-6C4D-A900-99E0381E48B4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14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6-17DF-6C4D-A900-99E0381E48B4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/>
                      <a:t>15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7-17DF-6C4D-A900-99E0381E48B4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r>
                      <a:rPr lang="en-US"/>
                      <a:t>13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8-17DF-6C4D-A900-99E0381E48B4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r>
                      <a:rPr lang="en-US"/>
                      <a:t>17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9-17DF-6C4D-A900-99E0381E48B4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r>
                      <a:rPr lang="en-US"/>
                      <a:t>2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B-17DF-6C4D-A900-99E0381E48B4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r>
                      <a:rPr lang="en-US"/>
                      <a:t>13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A-17DF-6C4D-A900-99E0381E48B4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r>
                      <a:rPr lang="en-US"/>
                      <a:t>15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C-17DF-6C4D-A900-99E0381E48B4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17DF-6C4D-A900-99E0381E48B4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r>
                      <a:rPr lang="en-US"/>
                      <a:t>15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17DF-6C4D-A900-99E0381E48B4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r>
                      <a:rPr lang="en-US"/>
                      <a:t>14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17DF-6C4D-A900-99E0381E48B4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r>
                      <a:rPr lang="en-US"/>
                      <a:t>6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17DF-6C4D-A900-99E0381E48B4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r>
                      <a:rPr lang="en-US"/>
                      <a:t>15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17DF-6C4D-A900-99E0381E48B4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r>
                      <a:rPr lang="en-US"/>
                      <a:t>14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17DF-6C4D-A900-99E0381E48B4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r>
                      <a:rPr lang="en-US"/>
                      <a:t>10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B-17DF-6C4D-A900-99E0381E48B4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17DF-6C4D-A900-99E0381E48B4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r>
                      <a:rPr lang="en-US"/>
                      <a:t>25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D-17DF-6C4D-A900-99E0381E48B4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17DF-6C4D-A900-99E0381E48B4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17DF-6C4D-A900-99E0381E48B4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17DF-6C4D-A900-99E0381E48B4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r>
                      <a:rPr lang="en-US"/>
                      <a:t>14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F-17DF-6C4D-A900-99E0381E48B4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r>
                      <a:rPr lang="en-US"/>
                      <a:t>14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1-17DF-6C4D-A900-99E0381E48B4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r>
                      <a:rPr lang="en-US"/>
                      <a:t>15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3-17DF-6C4D-A900-99E0381E48B4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r>
                      <a:rPr lang="en-US"/>
                      <a:t>27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5-17DF-6C4D-A900-99E0381E48B4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r>
                      <a:rPr lang="en-US"/>
                      <a:t>25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7-17DF-6C4D-A900-99E0381E48B4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r>
                      <a:rPr lang="en-US"/>
                      <a:t>22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9-17DF-6C4D-A900-99E0381E48B4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r>
                      <a:rPr lang="en-US"/>
                      <a:t>26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B-17DF-6C4D-A900-99E0381E48B4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r>
                      <a:rPr lang="en-US"/>
                      <a:t>27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D-17DF-6C4D-A900-99E0381E48B4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r>
                      <a:rPr lang="en-US"/>
                      <a:t>26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F-17DF-6C4D-A900-99E0381E48B4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r>
                      <a:rPr lang="en-US"/>
                      <a:t>94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1-17DF-6C4D-A900-99E0381E48B4}"/>
                </c:ext>
              </c:extLst>
            </c:dLbl>
            <c:numFmt formatCode="General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50"/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errBars>
            <c:errBarType val="both"/>
            <c:errValType val="cust"/>
            <c:noEndCap val="0"/>
            <c:plus>
              <c:numRef>
                <c:f>'Zea-Trial-1_Metadata_Avg'!$BB$126:$BB$157</c:f>
                <c:numCache>
                  <c:formatCode>General</c:formatCode>
                  <c:ptCount val="32"/>
                  <c:pt idx="0">
                    <c:v>0</c:v>
                  </c:pt>
                  <c:pt idx="1">
                    <c:v>0</c:v>
                  </c:pt>
                  <c:pt idx="2">
                    <c:v>0.77777777800000003</c:v>
                  </c:pt>
                  <c:pt idx="3">
                    <c:v>1.550357851</c:v>
                  </c:pt>
                  <c:pt idx="4">
                    <c:v>1.4185438539999999</c:v>
                  </c:pt>
                  <c:pt idx="5">
                    <c:v>1.4313972450000001</c:v>
                  </c:pt>
                  <c:pt idx="6">
                    <c:v>1.030300306</c:v>
                  </c:pt>
                  <c:pt idx="7">
                    <c:v>0</c:v>
                  </c:pt>
                  <c:pt idx="8">
                    <c:v>1.572622172</c:v>
                  </c:pt>
                  <c:pt idx="9">
                    <c:v>0.89278590199999996</c:v>
                  </c:pt>
                  <c:pt idx="11">
                    <c:v>1.0445413670000001</c:v>
                  </c:pt>
                  <c:pt idx="12">
                    <c:v>1.228070175</c:v>
                  </c:pt>
                  <c:pt idx="13">
                    <c:v>1.1666666670000001</c:v>
                  </c:pt>
                  <c:pt idx="14">
                    <c:v>1.1350619799999999</c:v>
                  </c:pt>
                  <c:pt idx="15">
                    <c:v>1.4126937850000001</c:v>
                  </c:pt>
                  <c:pt idx="16">
                    <c:v>1.9382122349999999</c:v>
                  </c:pt>
                  <c:pt idx="18">
                    <c:v>1.3</c:v>
                  </c:pt>
                  <c:pt idx="19">
                    <c:v>0</c:v>
                  </c:pt>
                  <c:pt idx="20">
                    <c:v>0</c:v>
                  </c:pt>
                  <c:pt idx="22">
                    <c:v>0.69779266299999998</c:v>
                  </c:pt>
                  <c:pt idx="23">
                    <c:v>0.89455949300000004</c:v>
                  </c:pt>
                  <c:pt idx="24">
                    <c:v>1.062840359</c:v>
                  </c:pt>
                  <c:pt idx="25">
                    <c:v>0.66</c:v>
                  </c:pt>
                  <c:pt idx="26">
                    <c:v>0.7</c:v>
                  </c:pt>
                  <c:pt idx="27">
                    <c:v>0.75</c:v>
                  </c:pt>
                  <c:pt idx="28">
                    <c:v>0.47</c:v>
                  </c:pt>
                  <c:pt idx="29">
                    <c:v>0.52</c:v>
                  </c:pt>
                  <c:pt idx="30">
                    <c:v>0.78</c:v>
                  </c:pt>
                  <c:pt idx="31">
                    <c:v>0.315714192</c:v>
                  </c:pt>
                </c:numCache>
              </c:numRef>
            </c:plus>
            <c:minus>
              <c:numRef>
                <c:f>'Zea-Trial-1_Metadata_Avg'!$BB$126:$BB$157</c:f>
                <c:numCache>
                  <c:formatCode>General</c:formatCode>
                  <c:ptCount val="32"/>
                  <c:pt idx="0">
                    <c:v>0</c:v>
                  </c:pt>
                  <c:pt idx="1">
                    <c:v>0</c:v>
                  </c:pt>
                  <c:pt idx="2">
                    <c:v>0.77777777800000003</c:v>
                  </c:pt>
                  <c:pt idx="3">
                    <c:v>1.550357851</c:v>
                  </c:pt>
                  <c:pt idx="4">
                    <c:v>1.4185438539999999</c:v>
                  </c:pt>
                  <c:pt idx="5">
                    <c:v>1.4313972450000001</c:v>
                  </c:pt>
                  <c:pt idx="6">
                    <c:v>1.030300306</c:v>
                  </c:pt>
                  <c:pt idx="7">
                    <c:v>0</c:v>
                  </c:pt>
                  <c:pt idx="8">
                    <c:v>1.572622172</c:v>
                  </c:pt>
                  <c:pt idx="9">
                    <c:v>0.89278590199999996</c:v>
                  </c:pt>
                  <c:pt idx="11">
                    <c:v>1.0445413670000001</c:v>
                  </c:pt>
                  <c:pt idx="12">
                    <c:v>1.228070175</c:v>
                  </c:pt>
                  <c:pt idx="13">
                    <c:v>1.1666666670000001</c:v>
                  </c:pt>
                  <c:pt idx="14">
                    <c:v>1.1350619799999999</c:v>
                  </c:pt>
                  <c:pt idx="15">
                    <c:v>1.4126937850000001</c:v>
                  </c:pt>
                  <c:pt idx="16">
                    <c:v>1.9382122349999999</c:v>
                  </c:pt>
                  <c:pt idx="18">
                    <c:v>1.3</c:v>
                  </c:pt>
                  <c:pt idx="19">
                    <c:v>0</c:v>
                  </c:pt>
                  <c:pt idx="20">
                    <c:v>0</c:v>
                  </c:pt>
                  <c:pt idx="22">
                    <c:v>0.69779266299999998</c:v>
                  </c:pt>
                  <c:pt idx="23">
                    <c:v>0.89455949300000004</c:v>
                  </c:pt>
                  <c:pt idx="24">
                    <c:v>1.062840359</c:v>
                  </c:pt>
                  <c:pt idx="25">
                    <c:v>0.66</c:v>
                  </c:pt>
                  <c:pt idx="26">
                    <c:v>0.7</c:v>
                  </c:pt>
                  <c:pt idx="27">
                    <c:v>0.75</c:v>
                  </c:pt>
                  <c:pt idx="28">
                    <c:v>0.47</c:v>
                  </c:pt>
                  <c:pt idx="29">
                    <c:v>0.52</c:v>
                  </c:pt>
                  <c:pt idx="30">
                    <c:v>0.78</c:v>
                  </c:pt>
                  <c:pt idx="31">
                    <c:v>0.315714192</c:v>
                  </c:pt>
                </c:numCache>
              </c:numRef>
            </c:minus>
          </c:errBars>
          <c:cat>
            <c:strRef>
              <c:f>'Zea-Trial-1_Metadata_Avg'!$B$126:$B$157</c:f>
              <c:strCache>
                <c:ptCount val="32"/>
                <c:pt idx="0">
                  <c:v>* Jaltepec de Candoyoc</c:v>
                </c:pt>
                <c:pt idx="1">
                  <c:v>* Moctum</c:v>
                </c:pt>
                <c:pt idx="2">
                  <c:v>* San Ildefonso Villa Alta</c:v>
                </c:pt>
                <c:pt idx="3">
                  <c:v>* Santa Maria Temaxcalapa</c:v>
                </c:pt>
                <c:pt idx="4">
                  <c:v>* Jala, Nayarit</c:v>
                </c:pt>
                <c:pt idx="5">
                  <c:v>* San Juan Comaltepec</c:v>
                </c:pt>
                <c:pt idx="6">
                  <c:v>* San Cristobal Lachirioag</c:v>
                </c:pt>
                <c:pt idx="7">
                  <c:v>* Santiago Choapam</c:v>
                </c:pt>
                <c:pt idx="8">
                  <c:v>* San Jose Chinantequilla</c:v>
                </c:pt>
                <c:pt idx="9">
                  <c:v>* Santiago Tepitongo</c:v>
                </c:pt>
                <c:pt idx="11">
                  <c:v>** Santa Maria Tiltepec</c:v>
                </c:pt>
                <c:pt idx="12">
                  <c:v>** Totontepec cultivar 3</c:v>
                </c:pt>
                <c:pt idx="13">
                  <c:v>** Venustiano Carranza, DG</c:v>
                </c:pt>
                <c:pt idx="14">
                  <c:v>** Totontepec cultivar 2</c:v>
                </c:pt>
                <c:pt idx="15">
                  <c:v>** San Miguel Metepec</c:v>
                </c:pt>
                <c:pt idx="16">
                  <c:v>** Totontepec cultivar 1</c:v>
                </c:pt>
                <c:pt idx="18">
                  <c:v>Teosinte - Mexicana</c:v>
                </c:pt>
                <c:pt idx="19">
                  <c:v>Teosinte - Diploperennis</c:v>
                </c:pt>
                <c:pt idx="20">
                  <c:v>Teosinte - Parviglumis</c:v>
                </c:pt>
                <c:pt idx="22">
                  <c:v>Mo17</c:v>
                </c:pt>
                <c:pt idx="23">
                  <c:v>B73</c:v>
                </c:pt>
                <c:pt idx="24">
                  <c:v>Hickory King</c:v>
                </c:pt>
                <c:pt idx="25">
                  <c:v>B73 x Mo17 (1A)</c:v>
                </c:pt>
                <c:pt idx="26">
                  <c:v>B73 x Mo17 (1D)</c:v>
                </c:pt>
                <c:pt idx="27">
                  <c:v>B73 x Mo17 (3C)</c:v>
                </c:pt>
                <c:pt idx="28">
                  <c:v>B73 x Mo17 (5B)</c:v>
                </c:pt>
                <c:pt idx="29">
                  <c:v>B73 x Mo17 (7A)</c:v>
                </c:pt>
                <c:pt idx="30">
                  <c:v>B73 x Mo17 (7D)</c:v>
                </c:pt>
                <c:pt idx="31">
                  <c:v>B73 x Mo17 (Avg.*)</c:v>
                </c:pt>
              </c:strCache>
            </c:strRef>
          </c:cat>
          <c:val>
            <c:numRef>
              <c:f>'Zea-Trial-1_Metadata_Avg'!$AY$126:$AY$157</c:f>
              <c:numCache>
                <c:formatCode>General</c:formatCode>
                <c:ptCount val="32"/>
                <c:pt idx="0">
                  <c:v>102</c:v>
                </c:pt>
                <c:pt idx="1">
                  <c:v>102</c:v>
                </c:pt>
                <c:pt idx="2">
                  <c:v>129.2222222</c:v>
                </c:pt>
                <c:pt idx="3">
                  <c:v>111.4230769</c:v>
                </c:pt>
                <c:pt idx="4">
                  <c:v>108.16</c:v>
                </c:pt>
                <c:pt idx="5">
                  <c:v>120.1363636</c:v>
                </c:pt>
                <c:pt idx="6">
                  <c:v>105.79166669999999</c:v>
                </c:pt>
                <c:pt idx="7">
                  <c:v>116</c:v>
                </c:pt>
                <c:pt idx="8">
                  <c:v>111.8636364</c:v>
                </c:pt>
                <c:pt idx="9">
                  <c:v>104.52</c:v>
                </c:pt>
                <c:pt idx="11">
                  <c:v>121.88</c:v>
                </c:pt>
                <c:pt idx="12">
                  <c:v>121.8947368</c:v>
                </c:pt>
                <c:pt idx="13">
                  <c:v>79.833333330000002</c:v>
                </c:pt>
                <c:pt idx="14">
                  <c:v>121.7826087</c:v>
                </c:pt>
                <c:pt idx="15">
                  <c:v>108.0869565</c:v>
                </c:pt>
                <c:pt idx="16">
                  <c:v>122.3</c:v>
                </c:pt>
                <c:pt idx="18">
                  <c:v>124.68</c:v>
                </c:pt>
                <c:pt idx="19">
                  <c:v>0</c:v>
                </c:pt>
                <c:pt idx="20">
                  <c:v>0</c:v>
                </c:pt>
                <c:pt idx="22">
                  <c:v>80.045454550000002</c:v>
                </c:pt>
                <c:pt idx="23">
                  <c:v>82.61538462</c:v>
                </c:pt>
                <c:pt idx="24">
                  <c:v>82</c:v>
                </c:pt>
                <c:pt idx="25">
                  <c:v>78.41</c:v>
                </c:pt>
                <c:pt idx="26">
                  <c:v>76.8</c:v>
                </c:pt>
                <c:pt idx="27">
                  <c:v>76.86</c:v>
                </c:pt>
                <c:pt idx="28">
                  <c:v>80.73</c:v>
                </c:pt>
                <c:pt idx="29">
                  <c:v>81.52</c:v>
                </c:pt>
                <c:pt idx="30">
                  <c:v>82.35</c:v>
                </c:pt>
                <c:pt idx="31">
                  <c:v>79.535947710000002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19050" cmpd="sng">
                    <a:solidFill>
                      <a:srgbClr val="000000">
                        <a:alpha val="100000"/>
                      </a:srgbClr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22-17DF-6C4D-A900-99E0381E48B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578672777"/>
        <c:axId val="1642593322"/>
      </c:barChart>
      <c:catAx>
        <c:axId val="15786727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1400" b="1" i="0">
                <a:solidFill>
                  <a:srgbClr val="000000"/>
                </a:solidFill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en-US"/>
          </a:p>
        </c:txPr>
        <c:crossAx val="1642593322"/>
        <c:crosses val="autoZero"/>
        <c:auto val="1"/>
        <c:lblAlgn val="ctr"/>
        <c:lblOffset val="100"/>
        <c:noMultiLvlLbl val="1"/>
      </c:catAx>
      <c:valAx>
        <c:axId val="164259332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sz="1800" b="1" i="0">
                    <a:solidFill>
                      <a:srgbClr val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defRPr>
                </a:pPr>
                <a:r>
                  <a:rPr lang="en-US" sz="1800" b="1" i="0">
                    <a:solidFill>
                      <a:srgbClr val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Days to Pollen Shed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600" b="0" i="0">
                <a:solidFill>
                  <a:srgbClr val="000000"/>
                </a:solidFill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en-US"/>
          </a:p>
        </c:txPr>
        <c:crossAx val="1578672777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2000" b="1" i="0">
                <a:solidFill>
                  <a:srgbClr val="000000"/>
                </a:solidFill>
                <a:latin typeface="Arial" panose="020B0604020202020204" pitchFamily="34" charset="0"/>
                <a:cs typeface="Arial" panose="020B0604020202020204" pitchFamily="34" charset="0"/>
              </a:defRPr>
            </a:pPr>
            <a:r>
              <a:rPr lang="en-US" sz="2000" b="1" i="0">
                <a:solidFill>
                  <a:srgbClr val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NDFA Variation among Zea Subpopulations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T1 = 9 weeks</c:v>
          </c:tx>
          <c:spPr>
            <a:solidFill>
              <a:srgbClr val="F1C232"/>
            </a:solidFill>
            <a:ln w="19050" cmpd="sng">
              <a:solidFill>
                <a:srgbClr val="000000">
                  <a:alpha val="100000"/>
                </a:srgbClr>
              </a:solidFill>
            </a:ln>
          </c:spPr>
          <c:invertIfNegative val="0"/>
          <c:errBars>
            <c:errBarType val="both"/>
            <c:errValType val="cust"/>
            <c:noEndCap val="0"/>
            <c:plus>
              <c:numRef>
                <c:f>'Zea-Trial-1_Metadata_Avg'!$J$126:$J$157</c:f>
                <c:numCache>
                  <c:formatCode>General</c:formatCode>
                  <c:ptCount val="32"/>
                  <c:pt idx="0">
                    <c:v>6.2781880790000004</c:v>
                  </c:pt>
                  <c:pt idx="1">
                    <c:v>0</c:v>
                  </c:pt>
                  <c:pt idx="2">
                    <c:v>6.1796746660000004</c:v>
                  </c:pt>
                  <c:pt idx="3">
                    <c:v>4.4937051439999998</c:v>
                  </c:pt>
                  <c:pt idx="4">
                    <c:v>9.3309102599999996</c:v>
                  </c:pt>
                  <c:pt idx="5">
                    <c:v>8.6345438370000007</c:v>
                  </c:pt>
                  <c:pt idx="6">
                    <c:v>7.7592786260000004</c:v>
                  </c:pt>
                  <c:pt idx="7">
                    <c:v>47.034550959999997</c:v>
                  </c:pt>
                  <c:pt idx="8">
                    <c:v>15.01316561</c:v>
                  </c:pt>
                  <c:pt idx="9">
                    <c:v>10.166324230000001</c:v>
                  </c:pt>
                  <c:pt idx="11">
                    <c:v>4.6310449970000001</c:v>
                  </c:pt>
                  <c:pt idx="12">
                    <c:v>6.0933942999999999</c:v>
                  </c:pt>
                  <c:pt idx="13">
                    <c:v>11.187616480000001</c:v>
                  </c:pt>
                  <c:pt idx="14">
                    <c:v>6.8653270239999999</c:v>
                  </c:pt>
                  <c:pt idx="15">
                    <c:v>6.6240222769999999</c:v>
                  </c:pt>
                  <c:pt idx="16">
                    <c:v>7.3164665910000002</c:v>
                  </c:pt>
                  <c:pt idx="18">
                    <c:v>6.6542917268508077</c:v>
                  </c:pt>
                  <c:pt idx="19">
                    <c:v>7.0086510268538875</c:v>
                  </c:pt>
                  <c:pt idx="20">
                    <c:v>4.3</c:v>
                  </c:pt>
                  <c:pt idx="22">
                    <c:v>3.9079947970000002</c:v>
                  </c:pt>
                  <c:pt idx="23">
                    <c:v>7.3805885770000002</c:v>
                  </c:pt>
                  <c:pt idx="24">
                    <c:v>4.5028300940000001</c:v>
                  </c:pt>
                  <c:pt idx="25">
                    <c:v>0</c:v>
                  </c:pt>
                  <c:pt idx="26">
                    <c:v>0</c:v>
                  </c:pt>
                  <c:pt idx="27">
                    <c:v>0</c:v>
                  </c:pt>
                  <c:pt idx="28">
                    <c:v>0</c:v>
                  </c:pt>
                  <c:pt idx="29">
                    <c:v>0</c:v>
                  </c:pt>
                  <c:pt idx="30">
                    <c:v>0</c:v>
                  </c:pt>
                  <c:pt idx="31">
                    <c:v>0</c:v>
                  </c:pt>
                </c:numCache>
              </c:numRef>
            </c:plus>
            <c:minus>
              <c:numRef>
                <c:f>'Zea-Trial-1_Metadata_Avg'!$J$126:$J$157</c:f>
                <c:numCache>
                  <c:formatCode>General</c:formatCode>
                  <c:ptCount val="32"/>
                  <c:pt idx="0">
                    <c:v>6.2781880790000004</c:v>
                  </c:pt>
                  <c:pt idx="1">
                    <c:v>0</c:v>
                  </c:pt>
                  <c:pt idx="2">
                    <c:v>6.1796746660000004</c:v>
                  </c:pt>
                  <c:pt idx="3">
                    <c:v>4.4937051439999998</c:v>
                  </c:pt>
                  <c:pt idx="4">
                    <c:v>9.3309102599999996</c:v>
                  </c:pt>
                  <c:pt idx="5">
                    <c:v>8.6345438370000007</c:v>
                  </c:pt>
                  <c:pt idx="6">
                    <c:v>7.7592786260000004</c:v>
                  </c:pt>
                  <c:pt idx="7">
                    <c:v>47.034550959999997</c:v>
                  </c:pt>
                  <c:pt idx="8">
                    <c:v>15.01316561</c:v>
                  </c:pt>
                  <c:pt idx="9">
                    <c:v>10.166324230000001</c:v>
                  </c:pt>
                  <c:pt idx="11">
                    <c:v>4.6310449970000001</c:v>
                  </c:pt>
                  <c:pt idx="12">
                    <c:v>6.0933942999999999</c:v>
                  </c:pt>
                  <c:pt idx="13">
                    <c:v>11.187616480000001</c:v>
                  </c:pt>
                  <c:pt idx="14">
                    <c:v>6.8653270239999999</c:v>
                  </c:pt>
                  <c:pt idx="15">
                    <c:v>6.6240222769999999</c:v>
                  </c:pt>
                  <c:pt idx="16">
                    <c:v>7.3164665910000002</c:v>
                  </c:pt>
                  <c:pt idx="18">
                    <c:v>6.6542917268508077</c:v>
                  </c:pt>
                  <c:pt idx="19">
                    <c:v>7.0086510268538875</c:v>
                  </c:pt>
                  <c:pt idx="20">
                    <c:v>4.3</c:v>
                  </c:pt>
                  <c:pt idx="22">
                    <c:v>3.9079947970000002</c:v>
                  </c:pt>
                  <c:pt idx="23">
                    <c:v>7.3805885770000002</c:v>
                  </c:pt>
                  <c:pt idx="24">
                    <c:v>4.5028300940000001</c:v>
                  </c:pt>
                  <c:pt idx="25">
                    <c:v>0</c:v>
                  </c:pt>
                  <c:pt idx="26">
                    <c:v>0</c:v>
                  </c:pt>
                  <c:pt idx="27">
                    <c:v>0</c:v>
                  </c:pt>
                  <c:pt idx="28">
                    <c:v>0</c:v>
                  </c:pt>
                  <c:pt idx="29">
                    <c:v>0</c:v>
                  </c:pt>
                  <c:pt idx="30">
                    <c:v>0</c:v>
                  </c:pt>
                  <c:pt idx="31">
                    <c:v>0</c:v>
                  </c:pt>
                </c:numCache>
              </c:numRef>
            </c:minus>
          </c:errBars>
          <c:cat>
            <c:strRef>
              <c:f>'Zea-Trial-1_Metadata_Avg'!$B$126:$B$157</c:f>
              <c:strCache>
                <c:ptCount val="32"/>
                <c:pt idx="0">
                  <c:v>* Jaltepec de Candoyoc</c:v>
                </c:pt>
                <c:pt idx="1">
                  <c:v>* Moctum</c:v>
                </c:pt>
                <c:pt idx="2">
                  <c:v>* San Ildefonso Villa Alta</c:v>
                </c:pt>
                <c:pt idx="3">
                  <c:v>* Santa Maria Temaxcalapa</c:v>
                </c:pt>
                <c:pt idx="4">
                  <c:v>* Jala, Nayarit</c:v>
                </c:pt>
                <c:pt idx="5">
                  <c:v>* San Juan Comaltepec</c:v>
                </c:pt>
                <c:pt idx="6">
                  <c:v>* San Cristobal Lachirioag</c:v>
                </c:pt>
                <c:pt idx="7">
                  <c:v>* Santiago Choapam</c:v>
                </c:pt>
                <c:pt idx="8">
                  <c:v>* San Jose Chinantequilla</c:v>
                </c:pt>
                <c:pt idx="9">
                  <c:v>* Santiago Tepitongo</c:v>
                </c:pt>
                <c:pt idx="11">
                  <c:v>** Santa Maria Tiltepec</c:v>
                </c:pt>
                <c:pt idx="12">
                  <c:v>** Totontepec cultivar 3</c:v>
                </c:pt>
                <c:pt idx="13">
                  <c:v>** Venustiano Carranza, DG</c:v>
                </c:pt>
                <c:pt idx="14">
                  <c:v>** Totontepec cultivar 2</c:v>
                </c:pt>
                <c:pt idx="15">
                  <c:v>** San Miguel Metepec</c:v>
                </c:pt>
                <c:pt idx="16">
                  <c:v>** Totontepec cultivar 1</c:v>
                </c:pt>
                <c:pt idx="18">
                  <c:v>Teosinte - Mexicana</c:v>
                </c:pt>
                <c:pt idx="19">
                  <c:v>Teosinte - Diploperennis</c:v>
                </c:pt>
                <c:pt idx="20">
                  <c:v>Teosinte - Parviglumis</c:v>
                </c:pt>
                <c:pt idx="22">
                  <c:v>Mo17</c:v>
                </c:pt>
                <c:pt idx="23">
                  <c:v>B73</c:v>
                </c:pt>
                <c:pt idx="24">
                  <c:v>Hickory King</c:v>
                </c:pt>
                <c:pt idx="25">
                  <c:v>B73 x Mo17 (1A)</c:v>
                </c:pt>
                <c:pt idx="26">
                  <c:v>B73 x Mo17 (1D)</c:v>
                </c:pt>
                <c:pt idx="27">
                  <c:v>B73 x Mo17 (3C)</c:v>
                </c:pt>
                <c:pt idx="28">
                  <c:v>B73 x Mo17 (5B)</c:v>
                </c:pt>
                <c:pt idx="29">
                  <c:v>B73 x Mo17 (7A)</c:v>
                </c:pt>
                <c:pt idx="30">
                  <c:v>B73 x Mo17 (7D)</c:v>
                </c:pt>
                <c:pt idx="31">
                  <c:v>B73 x Mo17 (Avg.*)</c:v>
                </c:pt>
              </c:strCache>
            </c:strRef>
          </c:cat>
          <c:val>
            <c:numRef>
              <c:f>'Zea-Trial-1_Metadata_Avg'!$G$126:$G$157</c:f>
              <c:numCache>
                <c:formatCode>General</c:formatCode>
                <c:ptCount val="32"/>
                <c:pt idx="0">
                  <c:v>116.0469093</c:v>
                </c:pt>
                <c:pt idx="1">
                  <c:v>108.11679700000001</c:v>
                </c:pt>
                <c:pt idx="2">
                  <c:v>71.365819549999998</c:v>
                </c:pt>
                <c:pt idx="3">
                  <c:v>61.242334880000001</c:v>
                </c:pt>
                <c:pt idx="4">
                  <c:v>41.333829829999999</c:v>
                </c:pt>
                <c:pt idx="5">
                  <c:v>41.240687739999998</c:v>
                </c:pt>
                <c:pt idx="6">
                  <c:v>27.431149659999999</c:v>
                </c:pt>
                <c:pt idx="7">
                  <c:v>21.191399400000002</c:v>
                </c:pt>
                <c:pt idx="8">
                  <c:v>-40.991269840000001</c:v>
                </c:pt>
                <c:pt idx="9">
                  <c:v>-69.678739519999993</c:v>
                </c:pt>
                <c:pt idx="11">
                  <c:v>70.911180009999995</c:v>
                </c:pt>
                <c:pt idx="12">
                  <c:v>67.961599039999996</c:v>
                </c:pt>
                <c:pt idx="13">
                  <c:v>38.763487429999998</c:v>
                </c:pt>
                <c:pt idx="14">
                  <c:v>28.698930959999998</c:v>
                </c:pt>
                <c:pt idx="15">
                  <c:v>-16.573820040000001</c:v>
                </c:pt>
                <c:pt idx="16">
                  <c:v>-50.252356310000003</c:v>
                </c:pt>
                <c:pt idx="18" formatCode="0.00">
                  <c:v>72.127912643269113</c:v>
                </c:pt>
                <c:pt idx="19" formatCode="0.00">
                  <c:v>47.877728412275289</c:v>
                </c:pt>
                <c:pt idx="20">
                  <c:v>34.58</c:v>
                </c:pt>
                <c:pt idx="22">
                  <c:v>9.3310401929999998</c:v>
                </c:pt>
                <c:pt idx="23">
                  <c:v>-32.643801420000003</c:v>
                </c:pt>
                <c:pt idx="24">
                  <c:v>-66.360235680000002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31-D446-A103-28849F83A33C}"/>
            </c:ext>
          </c:extLst>
        </c:ser>
        <c:ser>
          <c:idx val="1"/>
          <c:order val="1"/>
          <c:tx>
            <c:v>T2 = 13 weeks</c:v>
          </c:tx>
          <c:spPr>
            <a:solidFill>
              <a:srgbClr val="6FA8DC"/>
            </a:solidFill>
            <a:ln w="19050" cmpd="sng">
              <a:solidFill>
                <a:srgbClr val="000000">
                  <a:alpha val="100000"/>
                </a:srgbClr>
              </a:solidFill>
            </a:ln>
          </c:spPr>
          <c:invertIfNegative val="0"/>
          <c:errBars>
            <c:errBarType val="both"/>
            <c:errValType val="cust"/>
            <c:noEndCap val="0"/>
            <c:plus>
              <c:numRef>
                <c:f>'Zea-Trial-1_Metadata_Avg'!$V$126:$V$157</c:f>
                <c:numCache>
                  <c:formatCode>General</c:formatCode>
                  <c:ptCount val="32"/>
                  <c:pt idx="0">
                    <c:v>13.195462750000001</c:v>
                  </c:pt>
                  <c:pt idx="1">
                    <c:v>0</c:v>
                  </c:pt>
                  <c:pt idx="2">
                    <c:v>7.7362991640000001</c:v>
                  </c:pt>
                  <c:pt idx="3">
                    <c:v>6.6085462440000002</c:v>
                  </c:pt>
                  <c:pt idx="4">
                    <c:v>7.6207976100000003</c:v>
                  </c:pt>
                  <c:pt idx="5">
                    <c:v>6.9499692959999999</c:v>
                  </c:pt>
                  <c:pt idx="6">
                    <c:v>5.7332338390000004</c:v>
                  </c:pt>
                  <c:pt idx="7">
                    <c:v>26.850056410000001</c:v>
                  </c:pt>
                  <c:pt idx="8">
                    <c:v>10.084748380000001</c:v>
                  </c:pt>
                  <c:pt idx="9">
                    <c:v>6.7320440430000001</c:v>
                  </c:pt>
                  <c:pt idx="11">
                    <c:v>6.6131695869999998</c:v>
                  </c:pt>
                  <c:pt idx="12">
                    <c:v>6.0817781440000003</c:v>
                  </c:pt>
                  <c:pt idx="13">
                    <c:v>10.439160790000001</c:v>
                  </c:pt>
                  <c:pt idx="14">
                    <c:v>5.5663582079999996</c:v>
                  </c:pt>
                  <c:pt idx="15">
                    <c:v>3.4723043439999999</c:v>
                  </c:pt>
                  <c:pt idx="16">
                    <c:v>9.1693329590000001</c:v>
                  </c:pt>
                  <c:pt idx="18">
                    <c:v>6.4027730790000001</c:v>
                  </c:pt>
                  <c:pt idx="19">
                    <c:v>19.034054640000001</c:v>
                  </c:pt>
                  <c:pt idx="20">
                    <c:v>7.4420320279999999</c:v>
                  </c:pt>
                  <c:pt idx="22">
                    <c:v>0</c:v>
                  </c:pt>
                  <c:pt idx="23">
                    <c:v>0</c:v>
                  </c:pt>
                  <c:pt idx="24">
                    <c:v>0</c:v>
                  </c:pt>
                  <c:pt idx="25">
                    <c:v>0</c:v>
                  </c:pt>
                  <c:pt idx="26">
                    <c:v>0</c:v>
                  </c:pt>
                  <c:pt idx="27">
                    <c:v>0</c:v>
                  </c:pt>
                  <c:pt idx="28">
                    <c:v>0</c:v>
                  </c:pt>
                  <c:pt idx="29">
                    <c:v>0</c:v>
                  </c:pt>
                  <c:pt idx="30">
                    <c:v>0</c:v>
                  </c:pt>
                  <c:pt idx="31">
                    <c:v>0</c:v>
                  </c:pt>
                </c:numCache>
              </c:numRef>
            </c:plus>
            <c:minus>
              <c:numRef>
                <c:f>'Zea-Trial-1_Metadata_Avg'!$V$126:$V$157</c:f>
                <c:numCache>
                  <c:formatCode>General</c:formatCode>
                  <c:ptCount val="32"/>
                  <c:pt idx="0">
                    <c:v>13.195462750000001</c:v>
                  </c:pt>
                  <c:pt idx="1">
                    <c:v>0</c:v>
                  </c:pt>
                  <c:pt idx="2">
                    <c:v>7.7362991640000001</c:v>
                  </c:pt>
                  <c:pt idx="3">
                    <c:v>6.6085462440000002</c:v>
                  </c:pt>
                  <c:pt idx="4">
                    <c:v>7.6207976100000003</c:v>
                  </c:pt>
                  <c:pt idx="5">
                    <c:v>6.9499692959999999</c:v>
                  </c:pt>
                  <c:pt idx="6">
                    <c:v>5.7332338390000004</c:v>
                  </c:pt>
                  <c:pt idx="7">
                    <c:v>26.850056410000001</c:v>
                  </c:pt>
                  <c:pt idx="8">
                    <c:v>10.084748380000001</c:v>
                  </c:pt>
                  <c:pt idx="9">
                    <c:v>6.7320440430000001</c:v>
                  </c:pt>
                  <c:pt idx="11">
                    <c:v>6.6131695869999998</c:v>
                  </c:pt>
                  <c:pt idx="12">
                    <c:v>6.0817781440000003</c:v>
                  </c:pt>
                  <c:pt idx="13">
                    <c:v>10.439160790000001</c:v>
                  </c:pt>
                  <c:pt idx="14">
                    <c:v>5.5663582079999996</c:v>
                  </c:pt>
                  <c:pt idx="15">
                    <c:v>3.4723043439999999</c:v>
                  </c:pt>
                  <c:pt idx="16">
                    <c:v>9.1693329590000001</c:v>
                  </c:pt>
                  <c:pt idx="18">
                    <c:v>6.4027730790000001</c:v>
                  </c:pt>
                  <c:pt idx="19">
                    <c:v>19.034054640000001</c:v>
                  </c:pt>
                  <c:pt idx="20">
                    <c:v>7.4420320279999999</c:v>
                  </c:pt>
                  <c:pt idx="22">
                    <c:v>0</c:v>
                  </c:pt>
                  <c:pt idx="23">
                    <c:v>0</c:v>
                  </c:pt>
                  <c:pt idx="24">
                    <c:v>0</c:v>
                  </c:pt>
                  <c:pt idx="25">
                    <c:v>0</c:v>
                  </c:pt>
                  <c:pt idx="26">
                    <c:v>0</c:v>
                  </c:pt>
                  <c:pt idx="27">
                    <c:v>0</c:v>
                  </c:pt>
                  <c:pt idx="28">
                    <c:v>0</c:v>
                  </c:pt>
                  <c:pt idx="29">
                    <c:v>0</c:v>
                  </c:pt>
                  <c:pt idx="30">
                    <c:v>0</c:v>
                  </c:pt>
                  <c:pt idx="31">
                    <c:v>0</c:v>
                  </c:pt>
                </c:numCache>
              </c:numRef>
            </c:minus>
          </c:errBars>
          <c:cat>
            <c:strRef>
              <c:f>'Zea-Trial-1_Metadata_Avg'!$B$126:$B$157</c:f>
              <c:strCache>
                <c:ptCount val="32"/>
                <c:pt idx="0">
                  <c:v>* Jaltepec de Candoyoc</c:v>
                </c:pt>
                <c:pt idx="1">
                  <c:v>* Moctum</c:v>
                </c:pt>
                <c:pt idx="2">
                  <c:v>* San Ildefonso Villa Alta</c:v>
                </c:pt>
                <c:pt idx="3">
                  <c:v>* Santa Maria Temaxcalapa</c:v>
                </c:pt>
                <c:pt idx="4">
                  <c:v>* Jala, Nayarit</c:v>
                </c:pt>
                <c:pt idx="5">
                  <c:v>* San Juan Comaltepec</c:v>
                </c:pt>
                <c:pt idx="6">
                  <c:v>* San Cristobal Lachirioag</c:v>
                </c:pt>
                <c:pt idx="7">
                  <c:v>* Santiago Choapam</c:v>
                </c:pt>
                <c:pt idx="8">
                  <c:v>* San Jose Chinantequilla</c:v>
                </c:pt>
                <c:pt idx="9">
                  <c:v>* Santiago Tepitongo</c:v>
                </c:pt>
                <c:pt idx="11">
                  <c:v>** Santa Maria Tiltepec</c:v>
                </c:pt>
                <c:pt idx="12">
                  <c:v>** Totontepec cultivar 3</c:v>
                </c:pt>
                <c:pt idx="13">
                  <c:v>** Venustiano Carranza, DG</c:v>
                </c:pt>
                <c:pt idx="14">
                  <c:v>** Totontepec cultivar 2</c:v>
                </c:pt>
                <c:pt idx="15">
                  <c:v>** San Miguel Metepec</c:v>
                </c:pt>
                <c:pt idx="16">
                  <c:v>** Totontepec cultivar 1</c:v>
                </c:pt>
                <c:pt idx="18">
                  <c:v>Teosinte - Mexicana</c:v>
                </c:pt>
                <c:pt idx="19">
                  <c:v>Teosinte - Diploperennis</c:v>
                </c:pt>
                <c:pt idx="20">
                  <c:v>Teosinte - Parviglumis</c:v>
                </c:pt>
                <c:pt idx="22">
                  <c:v>Mo17</c:v>
                </c:pt>
                <c:pt idx="23">
                  <c:v>B73</c:v>
                </c:pt>
                <c:pt idx="24">
                  <c:v>Hickory King</c:v>
                </c:pt>
                <c:pt idx="25">
                  <c:v>B73 x Mo17 (1A)</c:v>
                </c:pt>
                <c:pt idx="26">
                  <c:v>B73 x Mo17 (1D)</c:v>
                </c:pt>
                <c:pt idx="27">
                  <c:v>B73 x Mo17 (3C)</c:v>
                </c:pt>
                <c:pt idx="28">
                  <c:v>B73 x Mo17 (5B)</c:v>
                </c:pt>
                <c:pt idx="29">
                  <c:v>B73 x Mo17 (7A)</c:v>
                </c:pt>
                <c:pt idx="30">
                  <c:v>B73 x Mo17 (7D)</c:v>
                </c:pt>
                <c:pt idx="31">
                  <c:v>B73 x Mo17 (Avg.*)</c:v>
                </c:pt>
              </c:strCache>
            </c:strRef>
          </c:cat>
          <c:val>
            <c:numRef>
              <c:f>'Zea-Trial-1_Metadata_Avg'!$S$126:$S$157</c:f>
              <c:numCache>
                <c:formatCode>General</c:formatCode>
                <c:ptCount val="32"/>
                <c:pt idx="0">
                  <c:v>68.410819189999998</c:v>
                </c:pt>
                <c:pt idx="1">
                  <c:v>27.927583219999999</c:v>
                </c:pt>
                <c:pt idx="2">
                  <c:v>49.061918919999997</c:v>
                </c:pt>
                <c:pt idx="3">
                  <c:v>40.578792730000004</c:v>
                </c:pt>
                <c:pt idx="4">
                  <c:v>-0.13872167799999999</c:v>
                </c:pt>
                <c:pt idx="5">
                  <c:v>5.219910907</c:v>
                </c:pt>
                <c:pt idx="6">
                  <c:v>-11.749939729999999</c:v>
                </c:pt>
                <c:pt idx="7">
                  <c:v>17.63292487</c:v>
                </c:pt>
                <c:pt idx="8">
                  <c:v>-53.816826390000003</c:v>
                </c:pt>
                <c:pt idx="9">
                  <c:v>-76.507766509999996</c:v>
                </c:pt>
                <c:pt idx="11">
                  <c:v>30.783315699999999</c:v>
                </c:pt>
                <c:pt idx="12">
                  <c:v>45.28187363</c:v>
                </c:pt>
                <c:pt idx="13">
                  <c:v>18.25363102</c:v>
                </c:pt>
                <c:pt idx="14">
                  <c:v>-2.8399098330000001</c:v>
                </c:pt>
                <c:pt idx="15">
                  <c:v>-36.400365360000002</c:v>
                </c:pt>
                <c:pt idx="16">
                  <c:v>-66.724860059999997</c:v>
                </c:pt>
                <c:pt idx="18">
                  <c:v>38.731324649999998</c:v>
                </c:pt>
                <c:pt idx="19">
                  <c:v>24.843614370000001</c:v>
                </c:pt>
                <c:pt idx="20">
                  <c:v>26.297640850000001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B31-D446-A103-28849F83A3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40643695"/>
        <c:axId val="1437156585"/>
      </c:barChart>
      <c:catAx>
        <c:axId val="6406436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txPr>
          <a:bodyPr/>
          <a:lstStyle/>
          <a:p>
            <a:pPr lvl="0">
              <a:defRPr sz="1400" b="1" i="0">
                <a:solidFill>
                  <a:srgbClr val="000000"/>
                </a:solidFill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en-US"/>
          </a:p>
        </c:txPr>
        <c:crossAx val="1437156585"/>
        <c:crosses val="autoZero"/>
        <c:auto val="0"/>
        <c:lblAlgn val="ctr"/>
        <c:lblOffset val="0"/>
        <c:tickLblSkip val="1"/>
        <c:tickMarkSkip val="1"/>
        <c:noMultiLvlLbl val="1"/>
      </c:catAx>
      <c:valAx>
        <c:axId val="143715658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sz="1800" b="1" i="0">
                    <a:solidFill>
                      <a:srgbClr val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defRPr>
                </a:pPr>
                <a:r>
                  <a:rPr lang="en-US" sz="1800" b="1" i="0">
                    <a:solidFill>
                      <a:srgbClr val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% NDFA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600" b="0" i="0">
                <a:solidFill>
                  <a:srgbClr val="000000"/>
                </a:solidFill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en-US"/>
          </a:p>
        </c:txPr>
        <c:crossAx val="640643695"/>
        <c:crossesAt val="1"/>
        <c:crossBetween val="between"/>
      </c:valAx>
    </c:plotArea>
    <c:legend>
      <c:legendPos val="b"/>
      <c:overlay val="0"/>
      <c:txPr>
        <a:bodyPr/>
        <a:lstStyle/>
        <a:p>
          <a:pPr lvl="0">
            <a:defRPr sz="1600" b="0" i="0">
              <a:solidFill>
                <a:srgbClr val="1A1A1A"/>
              </a:solidFill>
              <a:latin typeface="sans-serif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2000" b="1" i="0">
                <a:solidFill>
                  <a:srgbClr val="000000"/>
                </a:solidFill>
                <a:latin typeface="Arial" panose="020B0604020202020204" pitchFamily="34" charset="0"/>
                <a:cs typeface="Arial" panose="020B0604020202020204" pitchFamily="34" charset="0"/>
              </a:defRPr>
            </a:pPr>
            <a:r>
              <a:rPr lang="en-US" sz="2000" b="1" i="0">
                <a:solidFill>
                  <a:srgbClr val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NDFA Variation among Zea Subpopulations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T1 = 9 weeks</c:v>
          </c:tx>
          <c:spPr>
            <a:solidFill>
              <a:srgbClr val="FFC000"/>
            </a:solidFill>
            <a:ln w="19050" cmpd="sng">
              <a:solidFill>
                <a:srgbClr val="000000">
                  <a:alpha val="100000"/>
                </a:srgbClr>
              </a:solidFill>
            </a:ln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3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88A7-7843-8EA3-894AF6EFEEB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1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88A7-7843-8EA3-894AF6EFEEBD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19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88A7-7843-8EA3-894AF6EFEEBD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28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88A7-7843-8EA3-894AF6EFEEBD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/>
                      <a:t>25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88A7-7843-8EA3-894AF6EFEEBD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r>
                      <a:rPr lang="en-US"/>
                      <a:t>24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88A7-7843-8EA3-894AF6EFEEBD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r>
                      <a:rPr lang="en-US"/>
                      <a:t>25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D-88A7-7843-8EA3-894AF6EFEEBD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r>
                      <a:rPr lang="en-US"/>
                      <a:t>3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F-88A7-7843-8EA3-894AF6EFEEBD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r>
                      <a:rPr lang="en-US"/>
                      <a:t>25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0-88A7-7843-8EA3-894AF6EFEEBD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r>
                      <a:rPr lang="en-US"/>
                      <a:t>25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2-88A7-7843-8EA3-894AF6EFEEBD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88A7-7843-8EA3-894AF6EFEEBD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r>
                      <a:rPr lang="en-US"/>
                      <a:t>24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8-88A7-7843-8EA3-894AF6EFEEBD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r>
                      <a:rPr lang="en-US"/>
                      <a:t>21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9-88A7-7843-8EA3-894AF6EFEEBD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r>
                      <a:rPr lang="en-US"/>
                      <a:t>6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A-88A7-7843-8EA3-894AF6EFEEBD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r>
                      <a:rPr lang="en-US"/>
                      <a:t>26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B-88A7-7843-8EA3-894AF6EFEEBD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r>
                      <a:rPr lang="en-US"/>
                      <a:t>24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C-88A7-7843-8EA3-894AF6EFEEBD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r>
                      <a:rPr lang="en-US"/>
                      <a:t>14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D-88A7-7843-8EA3-894AF6EFEEBD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88A7-7843-8EA3-894AF6EFEEBD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r>
                      <a:rPr lang="en-US"/>
                      <a:t>25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1-88A7-7843-8EA3-894AF6EFEEBD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r>
                      <a:rPr lang="en-US"/>
                      <a:t>7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2-88A7-7843-8EA3-894AF6EFEEBD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r>
                      <a:rPr lang="en-US"/>
                      <a:t>24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3-88A7-7843-8EA3-894AF6EFEEBD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5-88A7-7843-8EA3-894AF6EFEEBD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r>
                      <a:rPr lang="en-US"/>
                      <a:t>22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6-88A7-7843-8EA3-894AF6EFEEBD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r>
                      <a:rPr lang="en-US"/>
                      <a:t>27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7-88A7-7843-8EA3-894AF6EFEEBD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r>
                      <a:rPr lang="en-US"/>
                      <a:t>28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8-88A7-7843-8EA3-894AF6EFEEBD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r>
                      <a:rPr lang="en-US"/>
                      <a:t>28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9-88A7-7843-8EA3-894AF6EFEEBD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r>
                      <a:rPr lang="en-US"/>
                      <a:t>28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A-88A7-7843-8EA3-894AF6EFEEBD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r>
                      <a:rPr lang="en-US"/>
                      <a:t>27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B-88A7-7843-8EA3-894AF6EFEEBD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r>
                      <a:rPr lang="en-US"/>
                      <a:t>28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C-88A7-7843-8EA3-894AF6EFEEBD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r>
                      <a:rPr lang="en-US"/>
                      <a:t>28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D-88A7-7843-8EA3-894AF6EFEEBD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r>
                      <a:rPr lang="en-US"/>
                      <a:t>28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E-88A7-7843-8EA3-894AF6EFEEBD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r>
                      <a:rPr lang="en-US"/>
                      <a:t>167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F-88A7-7843-8EA3-894AF6EFEEBD}"/>
                </c:ext>
              </c:extLst>
            </c:dLbl>
            <c:numFmt formatCode="General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50"/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errBars>
            <c:errBarType val="both"/>
            <c:errValType val="cust"/>
            <c:noEndCap val="0"/>
            <c:plus>
              <c:numRef>
                <c:f>'Zea-Trial-1_Metadata_Avg'!$N$126:$N$157</c:f>
                <c:numCache>
                  <c:formatCode>General</c:formatCode>
                  <c:ptCount val="32"/>
                  <c:pt idx="0">
                    <c:v>4.7331183301388906</c:v>
                  </c:pt>
                  <c:pt idx="1">
                    <c:v>0</c:v>
                  </c:pt>
                  <c:pt idx="2">
                    <c:v>4.658849188176597</c:v>
                  </c:pt>
                  <c:pt idx="3">
                    <c:v>3.3877988235226137</c:v>
                  </c:pt>
                  <c:pt idx="4">
                    <c:v>7.0345618564284393</c:v>
                  </c:pt>
                  <c:pt idx="5">
                    <c:v>6.5095720598705231</c:v>
                  </c:pt>
                  <c:pt idx="6">
                    <c:v>5.8497106856917647</c:v>
                  </c:pt>
                  <c:pt idx="7">
                    <c:v>35.459290574398914</c:v>
                  </c:pt>
                  <c:pt idx="8">
                    <c:v>11.318407229874145</c:v>
                  </c:pt>
                  <c:pt idx="9">
                    <c:v>7.6643794300309027</c:v>
                  </c:pt>
                  <c:pt idx="11">
                    <c:v>3.4913391714301985</c:v>
                  </c:pt>
                  <c:pt idx="12">
                    <c:v>4.5938025265425546</c:v>
                  </c:pt>
                  <c:pt idx="13">
                    <c:v>8.4343304090930022</c:v>
                  </c:pt>
                  <c:pt idx="14">
                    <c:v>5.1757616641247273</c:v>
                  </c:pt>
                  <c:pt idx="15">
                    <c:v>4.9938423103317549</c:v>
                  </c:pt>
                  <c:pt idx="16">
                    <c:v>5.5158752332957111</c:v>
                  </c:pt>
                  <c:pt idx="18">
                    <c:v>5.0166624114761698</c:v>
                  </c:pt>
                  <c:pt idx="19">
                    <c:v>5.2838134552618277</c:v>
                  </c:pt>
                  <c:pt idx="20">
                    <c:v>3.24</c:v>
                  </c:pt>
                  <c:pt idx="22">
                    <c:v>2.9462325077208171</c:v>
                  </c:pt>
                  <c:pt idx="23">
                    <c:v>5.5642167200207426</c:v>
                  </c:pt>
                  <c:pt idx="24">
                    <c:v>3.3946781124490752</c:v>
                  </c:pt>
                  <c:pt idx="25">
                    <c:v>5.3276787892881776</c:v>
                  </c:pt>
                  <c:pt idx="26">
                    <c:v>3.88921690282376</c:v>
                  </c:pt>
                  <c:pt idx="27">
                    <c:v>11.16782501737236</c:v>
                  </c:pt>
                  <c:pt idx="28">
                    <c:v>7.860084086042578</c:v>
                  </c:pt>
                  <c:pt idx="29">
                    <c:v>3.6363799529970127</c:v>
                  </c:pt>
                  <c:pt idx="30">
                    <c:v>2.8821456314537195</c:v>
                  </c:pt>
                  <c:pt idx="31">
                    <c:v>4.3383839351560143</c:v>
                  </c:pt>
                </c:numCache>
              </c:numRef>
            </c:plus>
            <c:minus>
              <c:numRef>
                <c:f>'Zea-Trial-1_Metadata_Avg'!$N$126:$N$157</c:f>
                <c:numCache>
                  <c:formatCode>General</c:formatCode>
                  <c:ptCount val="32"/>
                  <c:pt idx="0">
                    <c:v>4.7331183301388906</c:v>
                  </c:pt>
                  <c:pt idx="1">
                    <c:v>0</c:v>
                  </c:pt>
                  <c:pt idx="2">
                    <c:v>4.658849188176597</c:v>
                  </c:pt>
                  <c:pt idx="3">
                    <c:v>3.3877988235226137</c:v>
                  </c:pt>
                  <c:pt idx="4">
                    <c:v>7.0345618564284393</c:v>
                  </c:pt>
                  <c:pt idx="5">
                    <c:v>6.5095720598705231</c:v>
                  </c:pt>
                  <c:pt idx="6">
                    <c:v>5.8497106856917647</c:v>
                  </c:pt>
                  <c:pt idx="7">
                    <c:v>35.459290574398914</c:v>
                  </c:pt>
                  <c:pt idx="8">
                    <c:v>11.318407229874145</c:v>
                  </c:pt>
                  <c:pt idx="9">
                    <c:v>7.6643794300309027</c:v>
                  </c:pt>
                  <c:pt idx="11">
                    <c:v>3.4913391714301985</c:v>
                  </c:pt>
                  <c:pt idx="12">
                    <c:v>4.5938025265425546</c:v>
                  </c:pt>
                  <c:pt idx="13">
                    <c:v>8.4343304090930022</c:v>
                  </c:pt>
                  <c:pt idx="14">
                    <c:v>5.1757616641247273</c:v>
                  </c:pt>
                  <c:pt idx="15">
                    <c:v>4.9938423103317549</c:v>
                  </c:pt>
                  <c:pt idx="16">
                    <c:v>5.5158752332957111</c:v>
                  </c:pt>
                  <c:pt idx="18">
                    <c:v>5.0166624114761698</c:v>
                  </c:pt>
                  <c:pt idx="19">
                    <c:v>5.2838134552618277</c:v>
                  </c:pt>
                  <c:pt idx="20">
                    <c:v>3.24</c:v>
                  </c:pt>
                  <c:pt idx="22">
                    <c:v>2.9462325077208171</c:v>
                  </c:pt>
                  <c:pt idx="23">
                    <c:v>5.5642167200207426</c:v>
                  </c:pt>
                  <c:pt idx="24">
                    <c:v>3.3946781124490752</c:v>
                  </c:pt>
                  <c:pt idx="25">
                    <c:v>5.3276787892881776</c:v>
                  </c:pt>
                  <c:pt idx="26">
                    <c:v>3.88921690282376</c:v>
                  </c:pt>
                  <c:pt idx="27">
                    <c:v>11.16782501737236</c:v>
                  </c:pt>
                  <c:pt idx="28">
                    <c:v>7.860084086042578</c:v>
                  </c:pt>
                  <c:pt idx="29">
                    <c:v>3.6363799529970127</c:v>
                  </c:pt>
                  <c:pt idx="30">
                    <c:v>2.8821456314537195</c:v>
                  </c:pt>
                  <c:pt idx="31">
                    <c:v>4.3383839351560143</c:v>
                  </c:pt>
                </c:numCache>
              </c:numRef>
            </c:minus>
          </c:errBars>
          <c:cat>
            <c:strRef>
              <c:f>'Zea-Trial-1_Metadata_Avg'!$B$126:$B$157</c:f>
              <c:strCache>
                <c:ptCount val="32"/>
                <c:pt idx="0">
                  <c:v>* Jaltepec de Candoyoc</c:v>
                </c:pt>
                <c:pt idx="1">
                  <c:v>* Moctum</c:v>
                </c:pt>
                <c:pt idx="2">
                  <c:v>* San Ildefonso Villa Alta</c:v>
                </c:pt>
                <c:pt idx="3">
                  <c:v>* Santa Maria Temaxcalapa</c:v>
                </c:pt>
                <c:pt idx="4">
                  <c:v>* Jala, Nayarit</c:v>
                </c:pt>
                <c:pt idx="5">
                  <c:v>* San Juan Comaltepec</c:v>
                </c:pt>
                <c:pt idx="6">
                  <c:v>* San Cristobal Lachirioag</c:v>
                </c:pt>
                <c:pt idx="7">
                  <c:v>* Santiago Choapam</c:v>
                </c:pt>
                <c:pt idx="8">
                  <c:v>* San Jose Chinantequilla</c:v>
                </c:pt>
                <c:pt idx="9">
                  <c:v>* Santiago Tepitongo</c:v>
                </c:pt>
                <c:pt idx="11">
                  <c:v>** Santa Maria Tiltepec</c:v>
                </c:pt>
                <c:pt idx="12">
                  <c:v>** Totontepec cultivar 3</c:v>
                </c:pt>
                <c:pt idx="13">
                  <c:v>** Venustiano Carranza, DG</c:v>
                </c:pt>
                <c:pt idx="14">
                  <c:v>** Totontepec cultivar 2</c:v>
                </c:pt>
                <c:pt idx="15">
                  <c:v>** San Miguel Metepec</c:v>
                </c:pt>
                <c:pt idx="16">
                  <c:v>** Totontepec cultivar 1</c:v>
                </c:pt>
                <c:pt idx="18">
                  <c:v>Teosinte - Mexicana</c:v>
                </c:pt>
                <c:pt idx="19">
                  <c:v>Teosinte - Diploperennis</c:v>
                </c:pt>
                <c:pt idx="20">
                  <c:v>Teosinte - Parviglumis</c:v>
                </c:pt>
                <c:pt idx="22">
                  <c:v>Mo17</c:v>
                </c:pt>
                <c:pt idx="23">
                  <c:v>B73</c:v>
                </c:pt>
                <c:pt idx="24">
                  <c:v>Hickory King</c:v>
                </c:pt>
                <c:pt idx="25">
                  <c:v>B73 x Mo17 (1A)</c:v>
                </c:pt>
                <c:pt idx="26">
                  <c:v>B73 x Mo17 (1D)</c:v>
                </c:pt>
                <c:pt idx="27">
                  <c:v>B73 x Mo17 (3C)</c:v>
                </c:pt>
                <c:pt idx="28">
                  <c:v>B73 x Mo17 (5B)</c:v>
                </c:pt>
                <c:pt idx="29">
                  <c:v>B73 x Mo17 (7A)</c:v>
                </c:pt>
                <c:pt idx="30">
                  <c:v>B73 x Mo17 (7D)</c:v>
                </c:pt>
                <c:pt idx="31">
                  <c:v>B73 x Mo17 (Avg.*)</c:v>
                </c:pt>
              </c:strCache>
            </c:strRef>
          </c:cat>
          <c:val>
            <c:numRef>
              <c:f>'Zea-Trial-1_Metadata_Avg'!$K$126:$K$157</c:f>
              <c:numCache>
                <c:formatCode>General</c:formatCode>
                <c:ptCount val="32"/>
                <c:pt idx="0">
                  <c:v>112.09774535976328</c:v>
                </c:pt>
                <c:pt idx="1">
                  <c:v>106.11924333386864</c:v>
                </c:pt>
                <c:pt idx="2">
                  <c:v>78.412726306572722</c:v>
                </c:pt>
                <c:pt idx="3">
                  <c:v>70.780643565826026</c:v>
                </c:pt>
                <c:pt idx="4">
                  <c:v>55.771645911076313</c:v>
                </c:pt>
                <c:pt idx="5">
                  <c:v>55.701426201107019</c:v>
                </c:pt>
                <c:pt idx="6">
                  <c:v>45.290432295827834</c:v>
                </c:pt>
                <c:pt idx="7">
                  <c:v>40.586292203494764</c:v>
                </c:pt>
                <c:pt idx="8">
                  <c:v>-6.2931462561303526</c:v>
                </c:pt>
                <c:pt idx="9">
                  <c:v>-27.920594635277034</c:v>
                </c:pt>
                <c:pt idx="11">
                  <c:v>78.069974111537221</c:v>
                </c:pt>
                <c:pt idx="12">
                  <c:v>75.846288619064438</c:v>
                </c:pt>
                <c:pt idx="13">
                  <c:v>53.833867915222051</c:v>
                </c:pt>
                <c:pt idx="14">
                  <c:v>46.246211069125849</c:v>
                </c:pt>
                <c:pt idx="15">
                  <c:v>12.115139348109951</c:v>
                </c:pt>
                <c:pt idx="16">
                  <c:v>-13.275068041076464</c:v>
                </c:pt>
                <c:pt idx="18" formatCode="0.00">
                  <c:v>78.987267358946255</c:v>
                </c:pt>
                <c:pt idx="19" formatCode="0.00">
                  <c:v>60.705083063943434</c:v>
                </c:pt>
                <c:pt idx="20">
                  <c:v>50.68</c:v>
                </c:pt>
                <c:pt idx="22">
                  <c:v>31.644781860792701</c:v>
                </c:pt>
                <c:pt idx="23">
                  <c:v>-1.8421478334521116E-14</c:v>
                </c:pt>
                <c:pt idx="24">
                  <c:v>-25.41877864027861</c:v>
                </c:pt>
                <c:pt idx="25" formatCode="0.00">
                  <c:v>-54.406682586006369</c:v>
                </c:pt>
                <c:pt idx="26" formatCode="0.00">
                  <c:v>56.779855012140025</c:v>
                </c:pt>
                <c:pt idx="27" formatCode="0.00">
                  <c:v>5.9968299063754502</c:v>
                </c:pt>
                <c:pt idx="28" formatCode="0.00">
                  <c:v>22.947237530963697</c:v>
                </c:pt>
                <c:pt idx="29" formatCode="0.00">
                  <c:v>72.697639761218099</c:v>
                </c:pt>
                <c:pt idx="30" formatCode="0.00">
                  <c:v>72.598544279462061</c:v>
                </c:pt>
                <c:pt idx="31">
                  <c:v>29.57592239167608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A7-7843-8EA3-894AF6EFEEBD}"/>
            </c:ext>
          </c:extLst>
        </c:ser>
        <c:ser>
          <c:idx val="1"/>
          <c:order val="1"/>
          <c:tx>
            <c:v>T2 = 13 weeks</c:v>
          </c:tx>
          <c:spPr>
            <a:solidFill>
              <a:srgbClr val="6FA8DC"/>
            </a:solidFill>
            <a:ln w="19050" cmpd="sng">
              <a:solidFill>
                <a:srgbClr val="000000">
                  <a:alpha val="100000"/>
                </a:srgbClr>
              </a:solidFill>
            </a:ln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3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88A7-7843-8EA3-894AF6EFEEB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1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A-88A7-7843-8EA3-894AF6EFEEBD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19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B-88A7-7843-8EA3-894AF6EFEEBD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27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88A7-7843-8EA3-894AF6EFEEBD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/>
                      <a:t>24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C-88A7-7843-8EA3-894AF6EFEEBD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r>
                      <a:rPr lang="en-US"/>
                      <a:t>24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3-88A7-7843-8EA3-894AF6EFEEBD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r>
                      <a:rPr lang="en-US"/>
                      <a:t>25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4-88A7-7843-8EA3-894AF6EFEEBD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r>
                      <a:rPr lang="en-US"/>
                      <a:t>3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E-88A7-7843-8EA3-894AF6EFEEBD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r>
                      <a:rPr lang="en-US"/>
                      <a:t>24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5-88A7-7843-8EA3-894AF6EFEEBD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r>
                      <a:rPr lang="en-US"/>
                      <a:t>25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1-88A7-7843-8EA3-894AF6EFEEBD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88A7-7843-8EA3-894AF6EFEEBD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r>
                      <a:rPr lang="en-US"/>
                      <a:t>25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2-88A7-7843-8EA3-894AF6EFEEBD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r>
                      <a:rPr lang="en-US"/>
                      <a:t>21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3-88A7-7843-8EA3-894AF6EFEEBD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r>
                      <a:rPr lang="en-US"/>
                      <a:t>6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4-88A7-7843-8EA3-894AF6EFEEBD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r>
                      <a:rPr lang="en-US"/>
                      <a:t>25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5-88A7-7843-8EA3-894AF6EFEEBD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r>
                      <a:rPr lang="en-US"/>
                      <a:t>24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6-88A7-7843-8EA3-894AF6EFEEBD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r>
                      <a:rPr lang="en-US"/>
                      <a:t>14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7-88A7-7843-8EA3-894AF6EFEEBD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88A7-7843-8EA3-894AF6EFEEBD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r>
                      <a:rPr lang="en-US"/>
                      <a:t>25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E-88A7-7843-8EA3-894AF6EFEEBD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r>
                      <a:rPr lang="en-US"/>
                      <a:t>6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F-88A7-7843-8EA3-894AF6EFEEBD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r>
                      <a:rPr lang="en-US"/>
                      <a:t>24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0-88A7-7843-8EA3-894AF6EFEEBD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88A7-7843-8EA3-894AF6EFEEBD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0-88A7-7843-8EA3-894AF6EFEEBD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1-88A7-7843-8EA3-894AF6EFEEBD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88A7-7843-8EA3-894AF6EFEEBD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88A7-7843-8EA3-894AF6EFEEBD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88A7-7843-8EA3-894AF6EFEEBD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88A7-7843-8EA3-894AF6EFEEBD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88A7-7843-8EA3-894AF6EFEEBD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88A7-7843-8EA3-894AF6EFEEBD}"/>
                </c:ext>
              </c:extLst>
            </c:dLbl>
            <c:dLbl>
              <c:idx val="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88A7-7843-8EA3-894AF6EFEEBD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88A7-7843-8EA3-894AF6EFEEB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50"/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errBars>
            <c:errBarType val="both"/>
            <c:errValType val="cust"/>
            <c:noEndCap val="0"/>
            <c:plus>
              <c:numRef>
                <c:f>'Zea-Trial-1_Metadata_Avg'!$Z$126:$Z$157</c:f>
                <c:numCache>
                  <c:formatCode>General</c:formatCode>
                  <c:ptCount val="32"/>
                  <c:pt idx="0">
                    <c:v>9.9480432612171494</c:v>
                  </c:pt>
                  <c:pt idx="1">
                    <c:v>0</c:v>
                  </c:pt>
                  <c:pt idx="2">
                    <c:v>5.8323864966225374</c:v>
                  </c:pt>
                  <c:pt idx="3">
                    <c:v>4.982174947960452</c:v>
                  </c:pt>
                  <c:pt idx="4">
                    <c:v>5.7453100171125291</c:v>
                  </c:pt>
                  <c:pt idx="5">
                    <c:v>5.2395733697619971</c:v>
                  </c:pt>
                  <c:pt idx="6">
                    <c:v>4.3222779939015554</c:v>
                  </c:pt>
                  <c:pt idx="7">
                    <c:v>20.242224761617535</c:v>
                  </c:pt>
                  <c:pt idx="8">
                    <c:v>7.602879498400573</c:v>
                  </c:pt>
                  <c:pt idx="9">
                    <c:v>5.0752797875615805</c:v>
                  </c:pt>
                  <c:pt idx="11">
                    <c:v>4.9856604807241229</c:v>
                  </c:pt>
                  <c:pt idx="12">
                    <c:v>4.5850451201980444</c:v>
                  </c:pt>
                  <c:pt idx="13">
                    <c:v>7.8700705778570894</c:v>
                  </c:pt>
                  <c:pt idx="14">
                    <c:v>4.1964706596873977</c:v>
                  </c:pt>
                  <c:pt idx="15">
                    <c:v>2.6177660067915602</c:v>
                  </c:pt>
                  <c:pt idx="16">
                    <c:v>6.9127489272229576</c:v>
                  </c:pt>
                  <c:pt idx="18">
                    <c:v>5.0910070691214333</c:v>
                  </c:pt>
                  <c:pt idx="19">
                    <c:v>16.15207471709541</c:v>
                  </c:pt>
                  <c:pt idx="20">
                    <c:v>6.962657093698529</c:v>
                  </c:pt>
                  <c:pt idx="22">
                    <c:v>0</c:v>
                  </c:pt>
                  <c:pt idx="23">
                    <c:v>0</c:v>
                  </c:pt>
                  <c:pt idx="24">
                    <c:v>0</c:v>
                  </c:pt>
                  <c:pt idx="25">
                    <c:v>0</c:v>
                  </c:pt>
                  <c:pt idx="26">
                    <c:v>0</c:v>
                  </c:pt>
                  <c:pt idx="27">
                    <c:v>0</c:v>
                  </c:pt>
                  <c:pt idx="28">
                    <c:v>0</c:v>
                  </c:pt>
                  <c:pt idx="29">
                    <c:v>0</c:v>
                  </c:pt>
                  <c:pt idx="30">
                    <c:v>0</c:v>
                  </c:pt>
                  <c:pt idx="31">
                    <c:v>0</c:v>
                  </c:pt>
                </c:numCache>
              </c:numRef>
            </c:plus>
            <c:minus>
              <c:numRef>
                <c:f>'Zea-Trial-1_Metadata_Avg'!$Z$126:$Z$157</c:f>
                <c:numCache>
                  <c:formatCode>General</c:formatCode>
                  <c:ptCount val="32"/>
                  <c:pt idx="0">
                    <c:v>9.9480432612171494</c:v>
                  </c:pt>
                  <c:pt idx="1">
                    <c:v>0</c:v>
                  </c:pt>
                  <c:pt idx="2">
                    <c:v>5.8323864966225374</c:v>
                  </c:pt>
                  <c:pt idx="3">
                    <c:v>4.982174947960452</c:v>
                  </c:pt>
                  <c:pt idx="4">
                    <c:v>5.7453100171125291</c:v>
                  </c:pt>
                  <c:pt idx="5">
                    <c:v>5.2395733697619971</c:v>
                  </c:pt>
                  <c:pt idx="6">
                    <c:v>4.3222779939015554</c:v>
                  </c:pt>
                  <c:pt idx="7">
                    <c:v>20.242224761617535</c:v>
                  </c:pt>
                  <c:pt idx="8">
                    <c:v>7.602879498400573</c:v>
                  </c:pt>
                  <c:pt idx="9">
                    <c:v>5.0752797875615805</c:v>
                  </c:pt>
                  <c:pt idx="11">
                    <c:v>4.9856604807241229</c:v>
                  </c:pt>
                  <c:pt idx="12">
                    <c:v>4.5850451201980444</c:v>
                  </c:pt>
                  <c:pt idx="13">
                    <c:v>7.8700705778570894</c:v>
                  </c:pt>
                  <c:pt idx="14">
                    <c:v>4.1964706596873977</c:v>
                  </c:pt>
                  <c:pt idx="15">
                    <c:v>2.6177660067915602</c:v>
                  </c:pt>
                  <c:pt idx="16">
                    <c:v>6.9127489272229576</c:v>
                  </c:pt>
                  <c:pt idx="18">
                    <c:v>5.0910070691214333</c:v>
                  </c:pt>
                  <c:pt idx="19">
                    <c:v>16.15207471709541</c:v>
                  </c:pt>
                  <c:pt idx="20">
                    <c:v>6.962657093698529</c:v>
                  </c:pt>
                  <c:pt idx="22">
                    <c:v>0</c:v>
                  </c:pt>
                  <c:pt idx="23">
                    <c:v>0</c:v>
                  </c:pt>
                  <c:pt idx="24">
                    <c:v>0</c:v>
                  </c:pt>
                  <c:pt idx="25">
                    <c:v>0</c:v>
                  </c:pt>
                  <c:pt idx="26">
                    <c:v>0</c:v>
                  </c:pt>
                  <c:pt idx="27">
                    <c:v>0</c:v>
                  </c:pt>
                  <c:pt idx="28">
                    <c:v>0</c:v>
                  </c:pt>
                  <c:pt idx="29">
                    <c:v>0</c:v>
                  </c:pt>
                  <c:pt idx="30">
                    <c:v>0</c:v>
                  </c:pt>
                  <c:pt idx="31">
                    <c:v>0</c:v>
                  </c:pt>
                </c:numCache>
              </c:numRef>
            </c:minus>
          </c:errBars>
          <c:cat>
            <c:strRef>
              <c:f>'Zea-Trial-1_Metadata_Avg'!$B$126:$B$157</c:f>
              <c:strCache>
                <c:ptCount val="32"/>
                <c:pt idx="0">
                  <c:v>* Jaltepec de Candoyoc</c:v>
                </c:pt>
                <c:pt idx="1">
                  <c:v>* Moctum</c:v>
                </c:pt>
                <c:pt idx="2">
                  <c:v>* San Ildefonso Villa Alta</c:v>
                </c:pt>
                <c:pt idx="3">
                  <c:v>* Santa Maria Temaxcalapa</c:v>
                </c:pt>
                <c:pt idx="4">
                  <c:v>* Jala, Nayarit</c:v>
                </c:pt>
                <c:pt idx="5">
                  <c:v>* San Juan Comaltepec</c:v>
                </c:pt>
                <c:pt idx="6">
                  <c:v>* San Cristobal Lachirioag</c:v>
                </c:pt>
                <c:pt idx="7">
                  <c:v>* Santiago Choapam</c:v>
                </c:pt>
                <c:pt idx="8">
                  <c:v>* San Jose Chinantequilla</c:v>
                </c:pt>
                <c:pt idx="9">
                  <c:v>* Santiago Tepitongo</c:v>
                </c:pt>
                <c:pt idx="11">
                  <c:v>** Santa Maria Tiltepec</c:v>
                </c:pt>
                <c:pt idx="12">
                  <c:v>** Totontepec cultivar 3</c:v>
                </c:pt>
                <c:pt idx="13">
                  <c:v>** Venustiano Carranza, DG</c:v>
                </c:pt>
                <c:pt idx="14">
                  <c:v>** Totontepec cultivar 2</c:v>
                </c:pt>
                <c:pt idx="15">
                  <c:v>** San Miguel Metepec</c:v>
                </c:pt>
                <c:pt idx="16">
                  <c:v>** Totontepec cultivar 1</c:v>
                </c:pt>
                <c:pt idx="18">
                  <c:v>Teosinte - Mexicana</c:v>
                </c:pt>
                <c:pt idx="19">
                  <c:v>Teosinte - Diploperennis</c:v>
                </c:pt>
                <c:pt idx="20">
                  <c:v>Teosinte - Parviglumis</c:v>
                </c:pt>
                <c:pt idx="22">
                  <c:v>Mo17</c:v>
                </c:pt>
                <c:pt idx="23">
                  <c:v>B73</c:v>
                </c:pt>
                <c:pt idx="24">
                  <c:v>Hickory King</c:v>
                </c:pt>
                <c:pt idx="25">
                  <c:v>B73 x Mo17 (1A)</c:v>
                </c:pt>
                <c:pt idx="26">
                  <c:v>B73 x Mo17 (1D)</c:v>
                </c:pt>
                <c:pt idx="27">
                  <c:v>B73 x Mo17 (3C)</c:v>
                </c:pt>
                <c:pt idx="28">
                  <c:v>B73 x Mo17 (5B)</c:v>
                </c:pt>
                <c:pt idx="29">
                  <c:v>B73 x Mo17 (7A)</c:v>
                </c:pt>
                <c:pt idx="30">
                  <c:v>B73 x Mo17 (7D)</c:v>
                </c:pt>
                <c:pt idx="31">
                  <c:v>B73 x Mo17 (Avg.*)</c:v>
                </c:pt>
              </c:strCache>
            </c:strRef>
          </c:cat>
          <c:val>
            <c:numRef>
              <c:f>'Zea-Trial-1_Metadata_Avg'!$W$126:$W$157</c:f>
              <c:numCache>
                <c:formatCode>General</c:formatCode>
                <c:ptCount val="32"/>
                <c:pt idx="0">
                  <c:v>76.184955139711491</c:v>
                </c:pt>
                <c:pt idx="1">
                  <c:v>45.664692948582818</c:v>
                </c:pt>
                <c:pt idx="2">
                  <c:v>61.597842840313049</c:v>
                </c:pt>
                <c:pt idx="3">
                  <c:v>55.20242436162399</c:v>
                </c:pt>
                <c:pt idx="4">
                  <c:v>24.505539942817482</c:v>
                </c:pt>
                <c:pt idx="5">
                  <c:v>28.545406509226378</c:v>
                </c:pt>
                <c:pt idx="6">
                  <c:v>15.75185682318099</c:v>
                </c:pt>
                <c:pt idx="7">
                  <c:v>37.903562581830407</c:v>
                </c:pt>
                <c:pt idx="8">
                  <c:v>-15.962317683582441</c:v>
                </c:pt>
                <c:pt idx="9">
                  <c:v>-33.068989746324995</c:v>
                </c:pt>
                <c:pt idx="11">
                  <c:v>47.81762618649045</c:v>
                </c:pt>
                <c:pt idx="12">
                  <c:v>58.74807131521677</c:v>
                </c:pt>
                <c:pt idx="13">
                  <c:v>38.371512192092915</c:v>
                </c:pt>
                <c:pt idx="14">
                  <c:v>22.469117490611328</c:v>
                </c:pt>
                <c:pt idx="15">
                  <c:v>-2.832068974800094</c:v>
                </c:pt>
                <c:pt idx="16">
                  <c:v>-25.693668516369318</c:v>
                </c:pt>
                <c:pt idx="18" formatCode="0.00">
                  <c:v>54.014941729014147</c:v>
                </c:pt>
                <c:pt idx="19" formatCode="0.00">
                  <c:v>38.916380972166621</c:v>
                </c:pt>
                <c:pt idx="20" formatCode="0.00">
                  <c:v>36.495806270605875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8A7-7843-8EA3-894AF6EFEEB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892534196"/>
        <c:axId val="1778171390"/>
      </c:barChart>
      <c:catAx>
        <c:axId val="8925341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txPr>
          <a:bodyPr/>
          <a:lstStyle/>
          <a:p>
            <a:pPr lvl="0">
              <a:defRPr sz="1400" b="1" i="0">
                <a:solidFill>
                  <a:srgbClr val="000000"/>
                </a:solidFill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en-US"/>
          </a:p>
        </c:txPr>
        <c:crossAx val="1778171390"/>
        <c:crosses val="autoZero"/>
        <c:auto val="1"/>
        <c:lblAlgn val="ctr"/>
        <c:lblOffset val="0"/>
        <c:noMultiLvlLbl val="1"/>
      </c:catAx>
      <c:valAx>
        <c:axId val="1778171390"/>
        <c:scaling>
          <c:orientation val="minMax"/>
          <c:max val="120"/>
        </c:scaling>
        <c:delete val="0"/>
        <c:axPos val="l"/>
        <c:title>
          <c:tx>
            <c:rich>
              <a:bodyPr/>
              <a:lstStyle/>
              <a:p>
                <a:pPr lvl="0">
                  <a:defRPr sz="1800" b="1" i="0">
                    <a:solidFill>
                      <a:srgbClr val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defRPr>
                </a:pPr>
                <a:r>
                  <a:rPr lang="en-US" sz="1800" b="1" i="0">
                    <a:solidFill>
                      <a:srgbClr val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% NDFA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600" b="0" i="0">
                <a:solidFill>
                  <a:srgbClr val="000000"/>
                </a:solidFill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en-US"/>
          </a:p>
        </c:txPr>
        <c:crossAx val="892534196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1600" b="0" i="0">
              <a:solidFill>
                <a:srgbClr val="000000"/>
              </a:solidFill>
              <a:latin typeface="sans-serif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28</xdr:row>
      <xdr:rowOff>9525</xdr:rowOff>
    </xdr:from>
    <xdr:ext cx="10420350" cy="6353175"/>
    <xdr:graphicFrame macro="">
      <xdr:nvGraphicFramePr>
        <xdr:cNvPr id="591569289" name="Chart 1" title="Chart">
          <a:extLst>
            <a:ext uri="{FF2B5EF4-FFF2-40B4-BE49-F238E27FC236}">
              <a16:creationId xmlns:a16="http://schemas.microsoft.com/office/drawing/2014/main" id="{00000000-0008-0000-0000-000089A142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13</xdr:col>
      <xdr:colOff>0</xdr:colOff>
      <xdr:row>28</xdr:row>
      <xdr:rowOff>0</xdr:rowOff>
    </xdr:from>
    <xdr:ext cx="10420350" cy="6353175"/>
    <xdr:graphicFrame macro="">
      <xdr:nvGraphicFramePr>
        <xdr:cNvPr id="23738987" name="Chart 2">
          <a:extLst>
            <a:ext uri="{FF2B5EF4-FFF2-40B4-BE49-F238E27FC236}">
              <a16:creationId xmlns:a16="http://schemas.microsoft.com/office/drawing/2014/main" id="{00000000-0008-0000-0000-00006B3A6A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25</xdr:col>
      <xdr:colOff>0</xdr:colOff>
      <xdr:row>28</xdr:row>
      <xdr:rowOff>0</xdr:rowOff>
    </xdr:from>
    <xdr:ext cx="10420350" cy="6353175"/>
    <xdr:graphicFrame macro="">
      <xdr:nvGraphicFramePr>
        <xdr:cNvPr id="1704162125" name="Chart 3">
          <a:extLst>
            <a:ext uri="{FF2B5EF4-FFF2-40B4-BE49-F238E27FC236}">
              <a16:creationId xmlns:a16="http://schemas.microsoft.com/office/drawing/2014/main" id="{00000000-0008-0000-0000-00004D7393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37</xdr:col>
      <xdr:colOff>0</xdr:colOff>
      <xdr:row>28</xdr:row>
      <xdr:rowOff>0</xdr:rowOff>
    </xdr:from>
    <xdr:ext cx="10420350" cy="6353175"/>
    <xdr:graphicFrame macro="">
      <xdr:nvGraphicFramePr>
        <xdr:cNvPr id="878431666" name="Chart 4">
          <a:extLst>
            <a:ext uri="{FF2B5EF4-FFF2-40B4-BE49-F238E27FC236}">
              <a16:creationId xmlns:a16="http://schemas.microsoft.com/office/drawing/2014/main" id="{00000000-0008-0000-0000-0000B2CD5B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49</xdr:col>
      <xdr:colOff>0</xdr:colOff>
      <xdr:row>28</xdr:row>
      <xdr:rowOff>0</xdr:rowOff>
    </xdr:from>
    <xdr:ext cx="10420350" cy="6353175"/>
    <xdr:graphicFrame macro="">
      <xdr:nvGraphicFramePr>
        <xdr:cNvPr id="342279772" name="Chart 5">
          <a:extLst>
            <a:ext uri="{FF2B5EF4-FFF2-40B4-BE49-F238E27FC236}">
              <a16:creationId xmlns:a16="http://schemas.microsoft.com/office/drawing/2014/main" id="{00000000-0008-0000-0000-00005CC666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  <xdr:oneCellAnchor>
    <xdr:from>
      <xdr:col>25</xdr:col>
      <xdr:colOff>0</xdr:colOff>
      <xdr:row>90</xdr:row>
      <xdr:rowOff>0</xdr:rowOff>
    </xdr:from>
    <xdr:ext cx="10420350" cy="6353175"/>
    <xdr:graphicFrame macro="">
      <xdr:nvGraphicFramePr>
        <xdr:cNvPr id="619507297" name="Chart 6">
          <a:extLst>
            <a:ext uri="{FF2B5EF4-FFF2-40B4-BE49-F238E27FC236}">
              <a16:creationId xmlns:a16="http://schemas.microsoft.com/office/drawing/2014/main" id="{00000000-0008-0000-0000-000061EEEC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 fLocksWithSheet="0"/>
  </xdr:oneCellAnchor>
  <xdr:oneCellAnchor>
    <xdr:from>
      <xdr:col>49</xdr:col>
      <xdr:colOff>0</xdr:colOff>
      <xdr:row>61</xdr:row>
      <xdr:rowOff>0</xdr:rowOff>
    </xdr:from>
    <xdr:ext cx="10420350" cy="6153150"/>
    <xdr:graphicFrame macro="">
      <xdr:nvGraphicFramePr>
        <xdr:cNvPr id="485790797" name="Chart 7">
          <a:extLst>
            <a:ext uri="{FF2B5EF4-FFF2-40B4-BE49-F238E27FC236}">
              <a16:creationId xmlns:a16="http://schemas.microsoft.com/office/drawing/2014/main" id="{00000000-0008-0000-0000-00004D94F4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 fLocksWithSheet="0"/>
  </xdr:oneCellAnchor>
  <xdr:oneCellAnchor>
    <xdr:from>
      <xdr:col>0</xdr:col>
      <xdr:colOff>0</xdr:colOff>
      <xdr:row>161</xdr:row>
      <xdr:rowOff>9525</xdr:rowOff>
    </xdr:from>
    <xdr:ext cx="10420350" cy="6353175"/>
    <xdr:graphicFrame macro="">
      <xdr:nvGraphicFramePr>
        <xdr:cNvPr id="1108854786" name="Chart 8" title="Chart">
          <a:extLst>
            <a:ext uri="{FF2B5EF4-FFF2-40B4-BE49-F238E27FC236}">
              <a16:creationId xmlns:a16="http://schemas.microsoft.com/office/drawing/2014/main" id="{00000000-0008-0000-0000-000002C817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 fLocksWithSheet="0"/>
  </xdr:oneCellAnchor>
  <xdr:oneCellAnchor>
    <xdr:from>
      <xdr:col>63</xdr:col>
      <xdr:colOff>0</xdr:colOff>
      <xdr:row>161</xdr:row>
      <xdr:rowOff>0</xdr:rowOff>
    </xdr:from>
    <xdr:ext cx="10420350" cy="6353175"/>
    <xdr:graphicFrame macro="">
      <xdr:nvGraphicFramePr>
        <xdr:cNvPr id="2" name="Chart 12" title="Chart">
          <a:extLst>
            <a:ext uri="{FF2B5EF4-FFF2-40B4-BE49-F238E27FC236}">
              <a16:creationId xmlns:a16="http://schemas.microsoft.com/office/drawing/2014/main" id="{02F641A8-4091-AC43-AF07-B89C460534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 fLocksWithSheet="0"/>
  </xdr:oneCellAnchor>
  <xdr:oneCellAnchor>
    <xdr:from>
      <xdr:col>49</xdr:col>
      <xdr:colOff>0</xdr:colOff>
      <xdr:row>161</xdr:row>
      <xdr:rowOff>0</xdr:rowOff>
    </xdr:from>
    <xdr:ext cx="10420350" cy="6353175"/>
    <xdr:graphicFrame macro="">
      <xdr:nvGraphicFramePr>
        <xdr:cNvPr id="4" name="Chart 11" title="Chart">
          <a:extLst>
            <a:ext uri="{FF2B5EF4-FFF2-40B4-BE49-F238E27FC236}">
              <a16:creationId xmlns:a16="http://schemas.microsoft.com/office/drawing/2014/main" id="{BB14D292-53DA-2442-B411-6BC8CD27DA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 fLocksWithSheet="0"/>
  </xdr:oneCellAnchor>
  <xdr:oneCellAnchor>
    <xdr:from>
      <xdr:col>35</xdr:col>
      <xdr:colOff>0</xdr:colOff>
      <xdr:row>161</xdr:row>
      <xdr:rowOff>0</xdr:rowOff>
    </xdr:from>
    <xdr:ext cx="10420350" cy="6353175"/>
    <xdr:graphicFrame macro="">
      <xdr:nvGraphicFramePr>
        <xdr:cNvPr id="5" name="Chart 10" title="Chart">
          <a:extLst>
            <a:ext uri="{FF2B5EF4-FFF2-40B4-BE49-F238E27FC236}">
              <a16:creationId xmlns:a16="http://schemas.microsoft.com/office/drawing/2014/main" id="{B2BEEA26-6636-2647-AB92-722EB78CD1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 fLocksWithSheet="0"/>
  </xdr:oneCellAnchor>
  <xdr:oneCellAnchor>
    <xdr:from>
      <xdr:col>63</xdr:col>
      <xdr:colOff>0</xdr:colOff>
      <xdr:row>196</xdr:row>
      <xdr:rowOff>0</xdr:rowOff>
    </xdr:from>
    <xdr:ext cx="10420350" cy="6343650"/>
    <xdr:graphicFrame macro="">
      <xdr:nvGraphicFramePr>
        <xdr:cNvPr id="6" name="Chart 13" title="Chart">
          <a:extLst>
            <a:ext uri="{FF2B5EF4-FFF2-40B4-BE49-F238E27FC236}">
              <a16:creationId xmlns:a16="http://schemas.microsoft.com/office/drawing/2014/main" id="{93702A6C-867F-8B42-911C-37619686FC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 fLocksWithSheet="0"/>
  </xdr:oneCellAnchor>
  <xdr:oneCellAnchor>
    <xdr:from>
      <xdr:col>19</xdr:col>
      <xdr:colOff>0</xdr:colOff>
      <xdr:row>161</xdr:row>
      <xdr:rowOff>0</xdr:rowOff>
    </xdr:from>
    <xdr:ext cx="10420350" cy="6353175"/>
    <xdr:graphicFrame macro="">
      <xdr:nvGraphicFramePr>
        <xdr:cNvPr id="9" name="Chart 9" title="Chart">
          <a:extLst>
            <a:ext uri="{FF2B5EF4-FFF2-40B4-BE49-F238E27FC236}">
              <a16:creationId xmlns:a16="http://schemas.microsoft.com/office/drawing/2014/main" id="{07C030E5-5A12-3E40-B852-0FA0B454EC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 fLocksWithSheet="0"/>
  </xdr:oneCellAnchor>
  <xdr:oneCellAnchor>
    <xdr:from>
      <xdr:col>19</xdr:col>
      <xdr:colOff>0</xdr:colOff>
      <xdr:row>197</xdr:row>
      <xdr:rowOff>0</xdr:rowOff>
    </xdr:from>
    <xdr:ext cx="10420350" cy="6343650"/>
    <xdr:graphicFrame macro="">
      <xdr:nvGraphicFramePr>
        <xdr:cNvPr id="10" name="Chart 14" title="Chart">
          <a:extLst>
            <a:ext uri="{FF2B5EF4-FFF2-40B4-BE49-F238E27FC236}">
              <a16:creationId xmlns:a16="http://schemas.microsoft.com/office/drawing/2014/main" id="{CC37AD92-AE74-134E-9223-78C7BBA0B9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N983"/>
  <sheetViews>
    <sheetView tabSelected="1" workbookViewId="0">
      <pane xSplit="2" ySplit="1" topLeftCell="BK192" activePane="bottomRight" state="frozen"/>
      <selection pane="topRight" activeCell="C1" sqref="C1"/>
      <selection pane="bottomLeft" activeCell="A2" sqref="A2"/>
      <selection pane="bottomRight" activeCell="BY199" sqref="BY199"/>
    </sheetView>
  </sheetViews>
  <sheetFormatPr baseColWidth="10" defaultColWidth="11.1640625" defaultRowHeight="15" customHeight="1" x14ac:dyDescent="0.2"/>
  <cols>
    <col min="1" max="1" width="10.5" customWidth="1"/>
    <col min="2" max="2" width="13.83203125" customWidth="1"/>
    <col min="3" max="66" width="10.5" customWidth="1"/>
  </cols>
  <sheetData>
    <row r="1" spans="1:54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 ht="15.75" customHeight="1" x14ac:dyDescent="0.2">
      <c r="A2" s="1" t="s">
        <v>54</v>
      </c>
      <c r="B2" s="1" t="s">
        <v>55</v>
      </c>
      <c r="C2" s="1">
        <v>-0.80979556699999999</v>
      </c>
      <c r="D2" s="1">
        <v>0.54875557500000005</v>
      </c>
      <c r="E2" s="1">
        <v>3</v>
      </c>
      <c r="F2" s="1">
        <v>0.31682417899999998</v>
      </c>
      <c r="G2" s="1">
        <v>116.0469093</v>
      </c>
      <c r="H2" s="1">
        <v>10.874140730000001</v>
      </c>
      <c r="I2" s="1">
        <v>3</v>
      </c>
      <c r="J2" s="1">
        <v>6.2781880790000004</v>
      </c>
      <c r="K2" s="1">
        <v>1.5941249529999999</v>
      </c>
      <c r="L2" s="1">
        <v>1.1533715879999999</v>
      </c>
      <c r="M2" s="1">
        <v>3</v>
      </c>
      <c r="N2" s="1">
        <v>0.665899397</v>
      </c>
      <c r="O2" s="1">
        <v>68.410819189999998</v>
      </c>
      <c r="P2" s="1">
        <v>22.855211910000001</v>
      </c>
      <c r="Q2" s="1">
        <v>3</v>
      </c>
      <c r="R2" s="1">
        <v>13.195462750000001</v>
      </c>
      <c r="S2" s="1">
        <v>111.375</v>
      </c>
      <c r="T2" s="1">
        <v>4.4194173819999998</v>
      </c>
      <c r="U2" s="1">
        <v>2</v>
      </c>
      <c r="V2" s="1">
        <v>3.125</v>
      </c>
      <c r="W2" s="1">
        <v>17</v>
      </c>
      <c r="X2" s="1">
        <v>1.414213562</v>
      </c>
      <c r="Y2" s="1">
        <v>2</v>
      </c>
      <c r="Z2" s="1">
        <v>1</v>
      </c>
      <c r="AA2" s="1">
        <v>4.5</v>
      </c>
      <c r="AB2" s="1">
        <v>0.70710678100000002</v>
      </c>
      <c r="AC2" s="1">
        <v>2</v>
      </c>
      <c r="AD2" s="1">
        <v>0.5</v>
      </c>
      <c r="AE2" s="1">
        <v>3.5</v>
      </c>
      <c r="AF2" s="1">
        <v>0.70710678100000002</v>
      </c>
      <c r="AG2" s="1">
        <v>2</v>
      </c>
      <c r="AH2" s="1">
        <v>0.5</v>
      </c>
      <c r="AI2" s="1">
        <v>8</v>
      </c>
      <c r="AJ2" s="1">
        <v>1.414213562</v>
      </c>
      <c r="AK2" s="1">
        <v>2</v>
      </c>
      <c r="AL2" s="1">
        <v>1</v>
      </c>
      <c r="AM2" s="1">
        <v>95</v>
      </c>
      <c r="AN2" s="1">
        <v>0</v>
      </c>
      <c r="AO2" s="1">
        <v>2</v>
      </c>
      <c r="AP2" s="1">
        <v>0</v>
      </c>
      <c r="AQ2" s="1">
        <v>102</v>
      </c>
      <c r="AR2" s="1">
        <v>0</v>
      </c>
      <c r="AS2" s="1">
        <v>2</v>
      </c>
      <c r="AT2" s="1">
        <v>0</v>
      </c>
      <c r="AU2" s="1">
        <v>1.5</v>
      </c>
      <c r="AV2" s="1">
        <v>0.70710678100000002</v>
      </c>
      <c r="AW2" s="1">
        <v>2</v>
      </c>
      <c r="AX2" s="1">
        <v>0.5</v>
      </c>
      <c r="AY2" s="1">
        <v>2</v>
      </c>
      <c r="AZ2" s="1" t="s">
        <v>56</v>
      </c>
      <c r="BA2" s="1">
        <v>1</v>
      </c>
      <c r="BB2" s="1" t="s">
        <v>56</v>
      </c>
    </row>
    <row r="3" spans="1:54" ht="15.75" customHeight="1" x14ac:dyDescent="0.2">
      <c r="A3" s="1" t="s">
        <v>54</v>
      </c>
      <c r="B3" s="1" t="s">
        <v>57</v>
      </c>
      <c r="C3" s="1">
        <v>-0.40960823499999999</v>
      </c>
      <c r="D3" s="1" t="s">
        <v>56</v>
      </c>
      <c r="E3" s="1">
        <v>1</v>
      </c>
      <c r="F3" s="1" t="s">
        <v>56</v>
      </c>
      <c r="G3" s="1">
        <v>108.11679700000001</v>
      </c>
      <c r="H3" s="1" t="s">
        <v>56</v>
      </c>
      <c r="I3" s="1">
        <v>1</v>
      </c>
      <c r="J3" s="1" t="s">
        <v>56</v>
      </c>
      <c r="K3" s="1">
        <v>3.6370819089999999</v>
      </c>
      <c r="L3" s="1" t="s">
        <v>56</v>
      </c>
      <c r="M3" s="1">
        <v>1</v>
      </c>
      <c r="N3" s="1" t="s">
        <v>56</v>
      </c>
      <c r="O3" s="1">
        <v>27.927583219999999</v>
      </c>
      <c r="P3" s="1" t="s">
        <v>56</v>
      </c>
      <c r="Q3" s="1">
        <v>1</v>
      </c>
      <c r="R3" s="1" t="s">
        <v>56</v>
      </c>
      <c r="S3" s="1">
        <v>104</v>
      </c>
      <c r="T3" s="1" t="s">
        <v>56</v>
      </c>
      <c r="U3" s="1">
        <v>1</v>
      </c>
      <c r="V3" s="1" t="s">
        <v>56</v>
      </c>
      <c r="W3" s="1">
        <v>19</v>
      </c>
      <c r="X3" s="1" t="s">
        <v>56</v>
      </c>
      <c r="Y3" s="1">
        <v>1</v>
      </c>
      <c r="Z3" s="1" t="s">
        <v>56</v>
      </c>
      <c r="AA3" s="1">
        <v>5</v>
      </c>
      <c r="AB3" s="1" t="s">
        <v>56</v>
      </c>
      <c r="AC3" s="1">
        <v>1</v>
      </c>
      <c r="AD3" s="1" t="s">
        <v>56</v>
      </c>
      <c r="AE3" s="1">
        <v>4</v>
      </c>
      <c r="AF3" s="1" t="s">
        <v>56</v>
      </c>
      <c r="AG3" s="1">
        <v>1</v>
      </c>
      <c r="AH3" s="1" t="s">
        <v>56</v>
      </c>
      <c r="AI3" s="1">
        <v>9</v>
      </c>
      <c r="AJ3" s="1" t="s">
        <v>56</v>
      </c>
      <c r="AK3" s="1">
        <v>1</v>
      </c>
      <c r="AL3" s="1" t="s">
        <v>56</v>
      </c>
      <c r="AM3" s="1">
        <v>95</v>
      </c>
      <c r="AN3" s="1" t="s">
        <v>56</v>
      </c>
      <c r="AO3" s="1">
        <v>1</v>
      </c>
      <c r="AP3" s="1" t="s">
        <v>56</v>
      </c>
      <c r="AQ3" s="1">
        <v>102</v>
      </c>
      <c r="AR3" s="1" t="s">
        <v>56</v>
      </c>
      <c r="AS3" s="1">
        <v>1</v>
      </c>
      <c r="AT3" s="1" t="s">
        <v>56</v>
      </c>
      <c r="AU3" s="1">
        <v>2</v>
      </c>
      <c r="AV3" s="1" t="s">
        <v>56</v>
      </c>
      <c r="AW3" s="1">
        <v>1</v>
      </c>
      <c r="AX3" s="1" t="s">
        <v>56</v>
      </c>
      <c r="AY3" s="1">
        <v>1</v>
      </c>
      <c r="AZ3" s="1" t="s">
        <v>56</v>
      </c>
      <c r="BA3" s="1">
        <v>1</v>
      </c>
      <c r="BB3" s="1" t="s">
        <v>56</v>
      </c>
    </row>
    <row r="4" spans="1:54" ht="15.75" customHeight="1" x14ac:dyDescent="0.2">
      <c r="A4" s="1" t="s">
        <v>54</v>
      </c>
      <c r="B4" s="1" t="s">
        <v>58</v>
      </c>
      <c r="C4" s="1">
        <v>1.4450030169999999</v>
      </c>
      <c r="D4" s="1">
        <v>1.3593347170000001</v>
      </c>
      <c r="E4" s="1">
        <v>19</v>
      </c>
      <c r="F4" s="1">
        <v>0.311852772</v>
      </c>
      <c r="G4" s="1">
        <v>71.365819549999998</v>
      </c>
      <c r="H4" s="1">
        <v>26.936577369999998</v>
      </c>
      <c r="I4" s="1">
        <v>19</v>
      </c>
      <c r="J4" s="1">
        <v>6.1796746660000004</v>
      </c>
      <c r="K4" s="1">
        <v>2.5705530830000001</v>
      </c>
      <c r="L4" s="1">
        <v>1.7017433120000001</v>
      </c>
      <c r="M4" s="1">
        <v>19</v>
      </c>
      <c r="N4" s="1">
        <v>0.39040669099999997</v>
      </c>
      <c r="O4" s="1">
        <v>49.061918919999997</v>
      </c>
      <c r="P4" s="1">
        <v>33.721746250000002</v>
      </c>
      <c r="Q4" s="1">
        <v>19</v>
      </c>
      <c r="R4" s="1">
        <v>7.7362991640000001</v>
      </c>
      <c r="S4" s="1">
        <v>95.238666670000001</v>
      </c>
      <c r="T4" s="1">
        <v>14.323399869999999</v>
      </c>
      <c r="U4" s="1">
        <v>15</v>
      </c>
      <c r="V4" s="1">
        <v>3.6982859440000002</v>
      </c>
      <c r="W4" s="1">
        <v>19.733333330000001</v>
      </c>
      <c r="X4" s="1">
        <v>1.1629191510000001</v>
      </c>
      <c r="Y4" s="1">
        <v>15</v>
      </c>
      <c r="Z4" s="1">
        <v>0.30026443400000002</v>
      </c>
      <c r="AA4" s="1">
        <v>5.733333333</v>
      </c>
      <c r="AB4" s="1">
        <v>1.032795559</v>
      </c>
      <c r="AC4" s="1">
        <v>15</v>
      </c>
      <c r="AD4" s="1">
        <v>0.26666666700000002</v>
      </c>
      <c r="AE4" s="1">
        <v>4.8666666669999996</v>
      </c>
      <c r="AF4" s="1">
        <v>1.187233679</v>
      </c>
      <c r="AG4" s="1">
        <v>15</v>
      </c>
      <c r="AH4" s="1">
        <v>0.30654241799999998</v>
      </c>
      <c r="AI4" s="1">
        <v>10.6</v>
      </c>
      <c r="AJ4" s="1">
        <v>2.197401062</v>
      </c>
      <c r="AK4" s="1">
        <v>15</v>
      </c>
      <c r="AL4" s="1">
        <v>0.56736651500000002</v>
      </c>
      <c r="AM4" s="1">
        <v>123.4666667</v>
      </c>
      <c r="AN4" s="1">
        <v>5.5916604569999997</v>
      </c>
      <c r="AO4" s="1">
        <v>15</v>
      </c>
      <c r="AP4" s="1">
        <v>1.443760522</v>
      </c>
      <c r="AQ4" s="1">
        <v>129.2222222</v>
      </c>
      <c r="AR4" s="1">
        <v>2.3333333330000001</v>
      </c>
      <c r="AS4" s="1">
        <v>15</v>
      </c>
      <c r="AT4" s="1">
        <v>0.77777777800000003</v>
      </c>
      <c r="AU4" s="1">
        <v>1.923076923</v>
      </c>
      <c r="AV4" s="1">
        <v>0.75955452499999998</v>
      </c>
      <c r="AW4" s="1">
        <v>13</v>
      </c>
      <c r="AX4" s="1">
        <v>0.21066252199999999</v>
      </c>
      <c r="AY4" s="1">
        <v>1</v>
      </c>
      <c r="AZ4" s="1" t="s">
        <v>56</v>
      </c>
      <c r="BA4" s="1">
        <v>1</v>
      </c>
      <c r="BB4" s="1" t="s">
        <v>56</v>
      </c>
    </row>
    <row r="5" spans="1:54" ht="15.75" customHeight="1" x14ac:dyDescent="0.2">
      <c r="A5" s="1" t="s">
        <v>59</v>
      </c>
      <c r="B5" s="1" t="s">
        <v>60</v>
      </c>
      <c r="C5" s="1">
        <v>1.46794607</v>
      </c>
      <c r="D5" s="1">
        <v>1.144902801</v>
      </c>
      <c r="E5" s="1">
        <v>24</v>
      </c>
      <c r="F5" s="1">
        <v>0.233702306</v>
      </c>
      <c r="G5" s="1">
        <v>70.911180009999995</v>
      </c>
      <c r="H5" s="1">
        <v>22.687394439999998</v>
      </c>
      <c r="I5" s="1">
        <v>24</v>
      </c>
      <c r="J5" s="1">
        <v>4.6310449970000001</v>
      </c>
      <c r="K5" s="1">
        <v>3.4929694530000002</v>
      </c>
      <c r="L5" s="1">
        <v>1.668643882</v>
      </c>
      <c r="M5" s="1">
        <v>25</v>
      </c>
      <c r="N5" s="1">
        <v>0.333728776</v>
      </c>
      <c r="O5" s="1">
        <v>30.783315699999999</v>
      </c>
      <c r="P5" s="1">
        <v>33.065847939999998</v>
      </c>
      <c r="Q5" s="1">
        <v>25</v>
      </c>
      <c r="R5" s="1">
        <v>6.6131695869999998</v>
      </c>
      <c r="S5" s="1">
        <v>143.14266670000001</v>
      </c>
      <c r="T5" s="1">
        <v>10.417988879999999</v>
      </c>
      <c r="U5" s="1">
        <v>15</v>
      </c>
      <c r="V5" s="1">
        <v>2.6899131629999999</v>
      </c>
      <c r="W5" s="1">
        <v>21.93333333</v>
      </c>
      <c r="X5" s="1">
        <v>1.751190072</v>
      </c>
      <c r="Y5" s="1">
        <v>15</v>
      </c>
      <c r="Z5" s="1">
        <v>0.45215533200000002</v>
      </c>
      <c r="AA5" s="1">
        <v>6.4666666670000001</v>
      </c>
      <c r="AB5" s="1">
        <v>1.457329587</v>
      </c>
      <c r="AC5" s="1">
        <v>15</v>
      </c>
      <c r="AD5" s="1">
        <v>0.37628088100000001</v>
      </c>
      <c r="AE5" s="1">
        <v>5.5333333329999999</v>
      </c>
      <c r="AF5" s="1">
        <v>1.457329587</v>
      </c>
      <c r="AG5" s="1">
        <v>15</v>
      </c>
      <c r="AH5" s="1">
        <v>0.37628088100000001</v>
      </c>
      <c r="AI5" s="1">
        <v>12</v>
      </c>
      <c r="AJ5" s="1">
        <v>2.9032002050000001</v>
      </c>
      <c r="AK5" s="1">
        <v>15</v>
      </c>
      <c r="AL5" s="1">
        <v>0.74960307000000004</v>
      </c>
      <c r="AM5" s="1">
        <v>117.4</v>
      </c>
      <c r="AN5" s="1">
        <v>6.7019897540000004</v>
      </c>
      <c r="AO5" s="1">
        <v>15</v>
      </c>
      <c r="AP5" s="1">
        <v>1.3403979509999999</v>
      </c>
      <c r="AQ5" s="1">
        <v>121.88</v>
      </c>
      <c r="AR5" s="1">
        <v>5.2227068330000002</v>
      </c>
      <c r="AS5" s="1">
        <v>15</v>
      </c>
      <c r="AT5" s="1">
        <v>1.0445413670000001</v>
      </c>
      <c r="AU5" s="1">
        <v>1.2380952380000001</v>
      </c>
      <c r="AV5" s="1">
        <v>0.43643578</v>
      </c>
      <c r="AW5" s="1">
        <v>21</v>
      </c>
      <c r="AX5" s="1">
        <v>9.5238094999999995E-2</v>
      </c>
      <c r="AY5" s="1">
        <v>1.125</v>
      </c>
      <c r="AZ5" s="1">
        <v>0.34156502599999999</v>
      </c>
      <c r="BA5" s="1">
        <v>16</v>
      </c>
      <c r="BB5" s="1">
        <v>8.5391255999999999E-2</v>
      </c>
    </row>
    <row r="6" spans="1:54" ht="15.75" customHeight="1" x14ac:dyDescent="0.2">
      <c r="A6" s="1" t="s">
        <v>59</v>
      </c>
      <c r="B6" s="1" t="s">
        <v>61</v>
      </c>
      <c r="C6" s="1">
        <v>1.61679452</v>
      </c>
      <c r="D6" s="1">
        <v>1.4091360500000001</v>
      </c>
      <c r="E6" s="1">
        <v>21</v>
      </c>
      <c r="F6" s="1">
        <v>0.30749869600000002</v>
      </c>
      <c r="G6" s="1">
        <v>67.961599039999996</v>
      </c>
      <c r="H6" s="1">
        <v>27.923440620000001</v>
      </c>
      <c r="I6" s="1">
        <v>21</v>
      </c>
      <c r="J6" s="1">
        <v>6.0933942999999999</v>
      </c>
      <c r="K6" s="1">
        <v>2.7613103099999998</v>
      </c>
      <c r="L6" s="1">
        <v>1.4064497410000001</v>
      </c>
      <c r="M6" s="1">
        <v>21</v>
      </c>
      <c r="N6" s="1">
        <v>0.30691249500000001</v>
      </c>
      <c r="O6" s="1">
        <v>45.28187363</v>
      </c>
      <c r="P6" s="1">
        <v>27.87020871</v>
      </c>
      <c r="Q6" s="1">
        <v>21</v>
      </c>
      <c r="R6" s="1">
        <v>6.0817781440000003</v>
      </c>
      <c r="S6" s="1">
        <v>122.0714286</v>
      </c>
      <c r="T6" s="1">
        <v>16.895444470000001</v>
      </c>
      <c r="U6" s="1">
        <v>14</v>
      </c>
      <c r="V6" s="1">
        <v>4.5154974729999999</v>
      </c>
      <c r="W6" s="1">
        <v>20.928571430000002</v>
      </c>
      <c r="X6" s="1">
        <v>1.3847680010000001</v>
      </c>
      <c r="Y6" s="1">
        <v>14</v>
      </c>
      <c r="Z6" s="1">
        <v>0.37009481599999999</v>
      </c>
      <c r="AA6" s="1">
        <v>4.7857142860000002</v>
      </c>
      <c r="AB6" s="1">
        <v>1.9681530359999999</v>
      </c>
      <c r="AC6" s="1">
        <v>14</v>
      </c>
      <c r="AD6" s="1">
        <v>0.52601102499999997</v>
      </c>
      <c r="AE6" s="1">
        <v>3.8571428569999999</v>
      </c>
      <c r="AF6" s="1">
        <v>1.875228924</v>
      </c>
      <c r="AG6" s="1">
        <v>14</v>
      </c>
      <c r="AH6" s="1">
        <v>0.50117601099999998</v>
      </c>
      <c r="AI6" s="1">
        <v>7.9166666670000003</v>
      </c>
      <c r="AJ6" s="1">
        <v>2.6097137890000002</v>
      </c>
      <c r="AK6" s="1">
        <v>12</v>
      </c>
      <c r="AL6" s="1">
        <v>0.753359479</v>
      </c>
      <c r="AM6" s="1">
        <v>116.7</v>
      </c>
      <c r="AN6" s="1">
        <v>7.4980699270000004</v>
      </c>
      <c r="AO6" s="1">
        <v>14</v>
      </c>
      <c r="AP6" s="1">
        <v>1.6766194059999999</v>
      </c>
      <c r="AQ6" s="1">
        <v>121.8947368</v>
      </c>
      <c r="AR6" s="1">
        <v>5.3530337899999996</v>
      </c>
      <c r="AS6" s="1">
        <v>14</v>
      </c>
      <c r="AT6" s="1">
        <v>1.228070175</v>
      </c>
      <c r="AU6" s="1">
        <v>1.636363636</v>
      </c>
      <c r="AV6" s="1">
        <v>0.67419986200000004</v>
      </c>
      <c r="AW6" s="1">
        <v>11</v>
      </c>
      <c r="AX6" s="1">
        <v>0.20327890700000001</v>
      </c>
      <c r="AY6" s="1">
        <v>1.1666666670000001</v>
      </c>
      <c r="AZ6" s="1">
        <v>0.40824829000000001</v>
      </c>
      <c r="BA6" s="1">
        <v>6</v>
      </c>
      <c r="BB6" s="1">
        <v>0.16666666699999999</v>
      </c>
    </row>
    <row r="7" spans="1:54" ht="15.75" customHeight="1" x14ac:dyDescent="0.2">
      <c r="A7" s="1" t="s">
        <v>54</v>
      </c>
      <c r="B7" s="1" t="s">
        <v>62</v>
      </c>
      <c r="C7" s="1">
        <v>1.9558772820000001</v>
      </c>
      <c r="D7" s="1">
        <v>1.199962253</v>
      </c>
      <c r="E7" s="1">
        <v>28</v>
      </c>
      <c r="F7" s="1">
        <v>0.22677154999999999</v>
      </c>
      <c r="G7" s="1">
        <v>61.242334880000001</v>
      </c>
      <c r="H7" s="1">
        <v>23.778452550000001</v>
      </c>
      <c r="I7" s="1">
        <v>28</v>
      </c>
      <c r="J7" s="1">
        <v>4.4937051439999998</v>
      </c>
      <c r="K7" s="1">
        <v>2.9986478550000002</v>
      </c>
      <c r="L7" s="1">
        <v>1.732893257</v>
      </c>
      <c r="M7" s="1">
        <v>27</v>
      </c>
      <c r="N7" s="1">
        <v>0.33349546299999999</v>
      </c>
      <c r="O7" s="1">
        <v>40.578792730000004</v>
      </c>
      <c r="P7" s="1">
        <v>34.33901358</v>
      </c>
      <c r="Q7" s="1">
        <v>27</v>
      </c>
      <c r="R7" s="1">
        <v>6.6085462440000002</v>
      </c>
      <c r="S7" s="1">
        <v>134.7142857</v>
      </c>
      <c r="T7" s="1">
        <v>13.22979488</v>
      </c>
      <c r="U7" s="1">
        <v>14</v>
      </c>
      <c r="V7" s="1">
        <v>3.5358114089999999</v>
      </c>
      <c r="W7" s="1">
        <v>21.714285709999999</v>
      </c>
      <c r="X7" s="1">
        <v>1.857565463</v>
      </c>
      <c r="Y7" s="1">
        <v>14</v>
      </c>
      <c r="Z7" s="1">
        <v>0.49645525299999999</v>
      </c>
      <c r="AA7" s="1">
        <v>4.9285714289999998</v>
      </c>
      <c r="AB7" s="1">
        <v>1.4392458340000001</v>
      </c>
      <c r="AC7" s="1">
        <v>14</v>
      </c>
      <c r="AD7" s="1">
        <v>0.38465462900000003</v>
      </c>
      <c r="AE7" s="1">
        <v>3.8571428569999999</v>
      </c>
      <c r="AF7" s="1">
        <v>1.292412345</v>
      </c>
      <c r="AG7" s="1">
        <v>14</v>
      </c>
      <c r="AH7" s="1">
        <v>0.34541172799999997</v>
      </c>
      <c r="AI7" s="1">
        <v>8.7857142859999993</v>
      </c>
      <c r="AJ7" s="1">
        <v>2.6941124250000001</v>
      </c>
      <c r="AK7" s="1">
        <v>14</v>
      </c>
      <c r="AL7" s="1">
        <v>0.72003183299999995</v>
      </c>
      <c r="AM7" s="1">
        <v>105.08</v>
      </c>
      <c r="AN7" s="1">
        <v>7.3082145560000003</v>
      </c>
      <c r="AO7" s="1">
        <v>14</v>
      </c>
      <c r="AP7" s="1">
        <v>1.461642911</v>
      </c>
      <c r="AQ7" s="1">
        <v>111.4230769</v>
      </c>
      <c r="AR7" s="1">
        <v>7.9053049370000004</v>
      </c>
      <c r="AS7" s="1">
        <v>14</v>
      </c>
      <c r="AT7" s="1">
        <v>1.550357851</v>
      </c>
      <c r="AU7" s="1">
        <v>1.9090909089999999</v>
      </c>
      <c r="AV7" s="1">
        <v>0.81117732799999998</v>
      </c>
      <c r="AW7" s="1">
        <v>22</v>
      </c>
      <c r="AX7" s="1">
        <v>0.17294358700000001</v>
      </c>
      <c r="AY7" s="1">
        <v>1.3333333329999999</v>
      </c>
      <c r="AZ7" s="1">
        <v>0.48304589199999998</v>
      </c>
      <c r="BA7" s="1">
        <v>21</v>
      </c>
      <c r="BB7" s="1">
        <v>0.10540925499999999</v>
      </c>
    </row>
    <row r="8" spans="1:54" ht="15.75" customHeight="1" x14ac:dyDescent="0.2">
      <c r="A8" s="1" t="s">
        <v>54</v>
      </c>
      <c r="B8" s="1" t="s">
        <v>63</v>
      </c>
      <c r="C8" s="1">
        <v>2.965245806</v>
      </c>
      <c r="D8" s="1">
        <v>2.1346614929999999</v>
      </c>
      <c r="E8" s="1">
        <v>24</v>
      </c>
      <c r="F8" s="1">
        <v>0.43573595300000001</v>
      </c>
      <c r="G8" s="1">
        <v>41.240687739999998</v>
      </c>
      <c r="H8" s="1">
        <v>42.30045312</v>
      </c>
      <c r="I8" s="1">
        <v>24</v>
      </c>
      <c r="J8" s="1">
        <v>8.6345438370000007</v>
      </c>
      <c r="K8" s="1">
        <v>4.7830080180000003</v>
      </c>
      <c r="L8" s="1">
        <v>1.7181952069999999</v>
      </c>
      <c r="M8" s="1">
        <v>24</v>
      </c>
      <c r="N8" s="1">
        <v>0.350725128</v>
      </c>
      <c r="O8" s="1">
        <v>5.219910907</v>
      </c>
      <c r="P8" s="1">
        <v>34.047756999999997</v>
      </c>
      <c r="Q8" s="1">
        <v>24</v>
      </c>
      <c r="R8" s="1">
        <v>6.9499692959999999</v>
      </c>
      <c r="S8" s="1">
        <v>139.7123077</v>
      </c>
      <c r="T8" s="1">
        <v>12.91040546</v>
      </c>
      <c r="U8" s="1">
        <v>13</v>
      </c>
      <c r="V8" s="1">
        <v>3.5807022220000002</v>
      </c>
      <c r="W8" s="1">
        <v>21.46153846</v>
      </c>
      <c r="X8" s="1">
        <v>1.4500221040000001</v>
      </c>
      <c r="Y8" s="1">
        <v>13</v>
      </c>
      <c r="Z8" s="1">
        <v>0.402163773</v>
      </c>
      <c r="AA8" s="1">
        <v>5.384615385</v>
      </c>
      <c r="AB8" s="1">
        <v>1.32529629</v>
      </c>
      <c r="AC8" s="1">
        <v>13</v>
      </c>
      <c r="AD8" s="1">
        <v>0.36757105600000001</v>
      </c>
      <c r="AE8" s="1">
        <v>4.153846154</v>
      </c>
      <c r="AF8" s="1">
        <v>1.28102523</v>
      </c>
      <c r="AG8" s="1">
        <v>13</v>
      </c>
      <c r="AH8" s="1">
        <v>0.355292473</v>
      </c>
      <c r="AI8" s="1">
        <v>9.538461538</v>
      </c>
      <c r="AJ8" s="1">
        <v>2.536907061</v>
      </c>
      <c r="AK8" s="1">
        <v>13</v>
      </c>
      <c r="AL8" s="1">
        <v>0.70361142200000004</v>
      </c>
      <c r="AM8" s="1">
        <v>114.0909091</v>
      </c>
      <c r="AN8" s="1">
        <v>8.1352208439999991</v>
      </c>
      <c r="AO8" s="1">
        <v>13</v>
      </c>
      <c r="AP8" s="1">
        <v>1.734434912</v>
      </c>
      <c r="AQ8" s="1">
        <v>120.1363636</v>
      </c>
      <c r="AR8" s="1">
        <v>6.7138481939999997</v>
      </c>
      <c r="AS8" s="1">
        <v>13</v>
      </c>
      <c r="AT8" s="1">
        <v>1.4313972450000001</v>
      </c>
      <c r="AU8" s="1">
        <v>1.375</v>
      </c>
      <c r="AV8" s="1">
        <v>0.5</v>
      </c>
      <c r="AW8" s="1">
        <v>16</v>
      </c>
      <c r="AX8" s="1">
        <v>0.125</v>
      </c>
      <c r="AY8" s="1">
        <v>1.2142857140000001</v>
      </c>
      <c r="AZ8" s="1">
        <v>0.425815314</v>
      </c>
      <c r="BA8" s="1">
        <v>14</v>
      </c>
      <c r="BB8" s="1">
        <v>0.11380393</v>
      </c>
    </row>
    <row r="9" spans="1:54" ht="15.75" customHeight="1" x14ac:dyDescent="0.2">
      <c r="A9" s="1" t="s">
        <v>59</v>
      </c>
      <c r="B9" s="1" t="s">
        <v>64</v>
      </c>
      <c r="C9" s="1">
        <v>3.5981564079999999</v>
      </c>
      <c r="D9" s="1">
        <v>1.7665742659999999</v>
      </c>
      <c r="E9" s="1">
        <v>26</v>
      </c>
      <c r="F9" s="1">
        <v>0.34645371699999999</v>
      </c>
      <c r="G9" s="1">
        <v>28.698930959999998</v>
      </c>
      <c r="H9" s="1">
        <v>35.006436460000003</v>
      </c>
      <c r="I9" s="1">
        <v>26</v>
      </c>
      <c r="J9" s="1">
        <v>6.8653270239999999</v>
      </c>
      <c r="K9" s="1">
        <v>5.1897409889999997</v>
      </c>
      <c r="L9" s="1">
        <v>1.404511021</v>
      </c>
      <c r="M9" s="1">
        <v>25</v>
      </c>
      <c r="N9" s="1">
        <v>0.28090220399999999</v>
      </c>
      <c r="O9" s="1">
        <v>-2.8399098330000001</v>
      </c>
      <c r="P9" s="1">
        <v>27.831791039999999</v>
      </c>
      <c r="Q9" s="1">
        <v>25</v>
      </c>
      <c r="R9" s="1">
        <v>5.5663582079999996</v>
      </c>
      <c r="S9" s="1">
        <v>145.1333333</v>
      </c>
      <c r="T9" s="1">
        <v>11.572314049999999</v>
      </c>
      <c r="U9" s="1">
        <v>15</v>
      </c>
      <c r="V9" s="1">
        <v>2.9879586389999999</v>
      </c>
      <c r="W9" s="1">
        <v>20.2</v>
      </c>
      <c r="X9" s="1">
        <v>2.7044936150000001</v>
      </c>
      <c r="Y9" s="1">
        <v>15</v>
      </c>
      <c r="Z9" s="1">
        <v>0.69829724900000001</v>
      </c>
      <c r="AA9" s="1">
        <v>5.266666667</v>
      </c>
      <c r="AB9" s="1">
        <v>1.4375905769999999</v>
      </c>
      <c r="AC9" s="1">
        <v>15</v>
      </c>
      <c r="AD9" s="1">
        <v>0.371184291</v>
      </c>
      <c r="AE9" s="1">
        <v>4.266666667</v>
      </c>
      <c r="AF9" s="1">
        <v>1.4375905769999999</v>
      </c>
      <c r="AG9" s="1">
        <v>15</v>
      </c>
      <c r="AH9" s="1">
        <v>0.371184291</v>
      </c>
      <c r="AI9" s="1">
        <v>9.5333333329999999</v>
      </c>
      <c r="AJ9" s="1">
        <v>2.8502297319999998</v>
      </c>
      <c r="AK9" s="1">
        <v>15</v>
      </c>
      <c r="AL9" s="1">
        <v>0.735926152</v>
      </c>
      <c r="AM9" s="1">
        <v>116</v>
      </c>
      <c r="AN9" s="1">
        <v>9.1998023690000004</v>
      </c>
      <c r="AO9" s="1">
        <v>15</v>
      </c>
      <c r="AP9" s="1">
        <v>1.9182914010000001</v>
      </c>
      <c r="AQ9" s="1">
        <v>121.7826087</v>
      </c>
      <c r="AR9" s="1">
        <v>5.443566025</v>
      </c>
      <c r="AS9" s="1">
        <v>15</v>
      </c>
      <c r="AT9" s="1">
        <v>1.1350619799999999</v>
      </c>
      <c r="AU9" s="1">
        <v>1.266666667</v>
      </c>
      <c r="AV9" s="1">
        <v>0.45773770800000002</v>
      </c>
      <c r="AW9" s="1">
        <v>15</v>
      </c>
      <c r="AX9" s="1">
        <v>0.118187368</v>
      </c>
      <c r="AY9" s="1">
        <v>1.153846154</v>
      </c>
      <c r="AZ9" s="1">
        <v>0.37553380800000002</v>
      </c>
      <c r="BA9" s="1">
        <v>13</v>
      </c>
      <c r="BB9" s="1">
        <v>0.104154339</v>
      </c>
    </row>
    <row r="10" spans="1:54" ht="15.75" customHeight="1" x14ac:dyDescent="0.2">
      <c r="A10" s="1" t="s">
        <v>54</v>
      </c>
      <c r="B10" s="1" t="s">
        <v>65</v>
      </c>
      <c r="C10" s="1">
        <v>3.6621340660000001</v>
      </c>
      <c r="D10" s="1">
        <v>1.9578316630000001</v>
      </c>
      <c r="E10" s="1">
        <v>25</v>
      </c>
      <c r="F10" s="1">
        <v>0.39156633299999999</v>
      </c>
      <c r="G10" s="1">
        <v>27.431149659999999</v>
      </c>
      <c r="H10" s="1">
        <v>38.796393129999998</v>
      </c>
      <c r="I10" s="1">
        <v>25</v>
      </c>
      <c r="J10" s="1">
        <v>7.7592786260000004</v>
      </c>
      <c r="K10" s="1">
        <v>5.6393791450000004</v>
      </c>
      <c r="L10" s="1">
        <v>1.446617306</v>
      </c>
      <c r="M10" s="1">
        <v>25</v>
      </c>
      <c r="N10" s="1">
        <v>0.289323461</v>
      </c>
      <c r="O10" s="1">
        <v>-11.749939729999999</v>
      </c>
      <c r="P10" s="1">
        <v>28.666169190000002</v>
      </c>
      <c r="Q10" s="1">
        <v>25</v>
      </c>
      <c r="R10" s="1">
        <v>5.7332338390000004</v>
      </c>
      <c r="S10" s="1">
        <v>129.7647059</v>
      </c>
      <c r="T10" s="1">
        <v>12.12966102</v>
      </c>
      <c r="U10" s="1">
        <v>17</v>
      </c>
      <c r="V10" s="1">
        <v>2.9418749169999998</v>
      </c>
      <c r="W10" s="1">
        <v>21.470588240000001</v>
      </c>
      <c r="X10" s="1">
        <v>1.62471717</v>
      </c>
      <c r="Y10" s="1">
        <v>17</v>
      </c>
      <c r="Z10" s="1">
        <v>0.39405179400000001</v>
      </c>
      <c r="AA10" s="1">
        <v>4.3529411759999999</v>
      </c>
      <c r="AB10" s="1">
        <v>1.6179144160000001</v>
      </c>
      <c r="AC10" s="1">
        <v>17</v>
      </c>
      <c r="AD10" s="1">
        <v>0.39240188399999998</v>
      </c>
      <c r="AE10" s="1">
        <v>3.411764706</v>
      </c>
      <c r="AF10" s="1">
        <v>1.6977493749999999</v>
      </c>
      <c r="AG10" s="1">
        <v>17</v>
      </c>
      <c r="AH10" s="1">
        <v>0.41176470599999998</v>
      </c>
      <c r="AI10" s="1">
        <v>7.7647058820000003</v>
      </c>
      <c r="AJ10" s="1">
        <v>3.2887955959999999</v>
      </c>
      <c r="AK10" s="1">
        <v>17</v>
      </c>
      <c r="AL10" s="1">
        <v>0.79765009499999995</v>
      </c>
      <c r="AM10" s="1">
        <v>104.33333330000001</v>
      </c>
      <c r="AN10" s="1">
        <v>4.913748827</v>
      </c>
      <c r="AO10" s="1">
        <v>17</v>
      </c>
      <c r="AP10" s="1">
        <v>1.0030147789999999</v>
      </c>
      <c r="AQ10" s="1">
        <v>105.79166669999999</v>
      </c>
      <c r="AR10" s="1">
        <v>5.0474200610000004</v>
      </c>
      <c r="AS10" s="1">
        <v>17</v>
      </c>
      <c r="AT10" s="1">
        <v>1.030300306</v>
      </c>
      <c r="AU10" s="1">
        <v>1.5909090910000001</v>
      </c>
      <c r="AV10" s="1">
        <v>0.66612532099999999</v>
      </c>
      <c r="AW10" s="1">
        <v>22</v>
      </c>
      <c r="AX10" s="1">
        <v>0.14201839599999999</v>
      </c>
      <c r="AY10" s="1">
        <v>1.5</v>
      </c>
      <c r="AZ10" s="1">
        <v>0.51298917600000005</v>
      </c>
      <c r="BA10" s="1">
        <v>20</v>
      </c>
      <c r="BB10" s="1">
        <v>0.11470786700000001</v>
      </c>
    </row>
    <row r="11" spans="1:54" ht="15.75" customHeight="1" x14ac:dyDescent="0.2">
      <c r="A11" s="1" t="s">
        <v>54</v>
      </c>
      <c r="B11" s="1" t="s">
        <v>66</v>
      </c>
      <c r="C11" s="1">
        <v>3.977018508</v>
      </c>
      <c r="D11" s="1">
        <v>4.111133938</v>
      </c>
      <c r="E11" s="1">
        <v>3</v>
      </c>
      <c r="F11" s="1">
        <v>2.3735642860000001</v>
      </c>
      <c r="G11" s="1">
        <v>21.191399400000002</v>
      </c>
      <c r="H11" s="1">
        <v>81.466231980000003</v>
      </c>
      <c r="I11" s="1">
        <v>3</v>
      </c>
      <c r="J11" s="1">
        <v>47.034550959999997</v>
      </c>
      <c r="K11" s="1">
        <v>4.1565943289999998</v>
      </c>
      <c r="L11" s="1">
        <v>2.3468742840000001</v>
      </c>
      <c r="M11" s="1">
        <v>3</v>
      </c>
      <c r="N11" s="1">
        <v>1.3549685</v>
      </c>
      <c r="O11" s="1">
        <v>17.63292487</v>
      </c>
      <c r="P11" s="1">
        <v>46.5056619</v>
      </c>
      <c r="Q11" s="1">
        <v>3</v>
      </c>
      <c r="R11" s="1">
        <v>26.850056410000001</v>
      </c>
      <c r="S11" s="1">
        <v>138.125</v>
      </c>
      <c r="T11" s="1">
        <v>7.2478445069999999</v>
      </c>
      <c r="U11" s="1">
        <v>2</v>
      </c>
      <c r="V11" s="1">
        <v>5.125</v>
      </c>
      <c r="W11" s="1">
        <v>22</v>
      </c>
      <c r="X11" s="1">
        <v>1.414213562</v>
      </c>
      <c r="Y11" s="1">
        <v>2</v>
      </c>
      <c r="Z11" s="1">
        <v>1</v>
      </c>
      <c r="AA11" s="1">
        <v>5.5</v>
      </c>
      <c r="AB11" s="1">
        <v>2.1213203439999999</v>
      </c>
      <c r="AC11" s="1">
        <v>2</v>
      </c>
      <c r="AD11" s="1">
        <v>1.5</v>
      </c>
      <c r="AE11" s="1">
        <v>5</v>
      </c>
      <c r="AF11" s="1">
        <v>1.414213562</v>
      </c>
      <c r="AG11" s="1">
        <v>2</v>
      </c>
      <c r="AH11" s="1">
        <v>1</v>
      </c>
      <c r="AI11" s="1">
        <v>10.5</v>
      </c>
      <c r="AJ11" s="1">
        <v>3.5355339059999999</v>
      </c>
      <c r="AK11" s="1">
        <v>2</v>
      </c>
      <c r="AL11" s="1">
        <v>2.5</v>
      </c>
      <c r="AM11" s="1">
        <v>102</v>
      </c>
      <c r="AN11" s="1" t="s">
        <v>56</v>
      </c>
      <c r="AO11" s="1">
        <v>2</v>
      </c>
      <c r="AP11" s="1" t="s">
        <v>56</v>
      </c>
      <c r="AQ11" s="1">
        <v>116</v>
      </c>
      <c r="AR11" s="1" t="s">
        <v>56</v>
      </c>
      <c r="AS11" s="1">
        <v>2</v>
      </c>
      <c r="AT11" s="1" t="s">
        <v>56</v>
      </c>
      <c r="AU11" s="1">
        <v>1</v>
      </c>
      <c r="AV11" s="1" t="s">
        <v>56</v>
      </c>
      <c r="AW11" s="1">
        <v>1</v>
      </c>
      <c r="AX11" s="1" t="s">
        <v>56</v>
      </c>
      <c r="AY11" s="1" t="s">
        <v>56</v>
      </c>
      <c r="AZ11" s="1" t="s">
        <v>56</v>
      </c>
      <c r="BA11" s="1">
        <v>0</v>
      </c>
      <c r="BB11" s="1" t="s">
        <v>56</v>
      </c>
    </row>
    <row r="12" spans="1:54" ht="15.75" customHeight="1" x14ac:dyDescent="0.2">
      <c r="A12" s="1" t="s">
        <v>59</v>
      </c>
      <c r="B12" s="1" t="s">
        <v>67</v>
      </c>
      <c r="C12" s="1">
        <v>5.8828127439999998</v>
      </c>
      <c r="D12" s="1">
        <v>1.6376134689999999</v>
      </c>
      <c r="E12" s="1">
        <v>24</v>
      </c>
      <c r="F12" s="1">
        <v>0.33427644899999998</v>
      </c>
      <c r="G12" s="1">
        <v>-16.573820040000001</v>
      </c>
      <c r="H12" s="1">
        <v>32.450949250000001</v>
      </c>
      <c r="I12" s="1">
        <v>24</v>
      </c>
      <c r="J12" s="1">
        <v>6.6240222769999999</v>
      </c>
      <c r="K12" s="1">
        <v>6.8833448830000004</v>
      </c>
      <c r="L12" s="1">
        <v>0.85843496900000005</v>
      </c>
      <c r="M12" s="1">
        <v>24</v>
      </c>
      <c r="N12" s="1">
        <v>0.175227304</v>
      </c>
      <c r="O12" s="1">
        <v>-36.400365360000002</v>
      </c>
      <c r="P12" s="1">
        <v>17.01074775</v>
      </c>
      <c r="Q12" s="1">
        <v>24</v>
      </c>
      <c r="R12" s="1">
        <v>3.4723043439999999</v>
      </c>
      <c r="S12" s="1">
        <v>96.053571430000005</v>
      </c>
      <c r="T12" s="1">
        <v>18.688277530000001</v>
      </c>
      <c r="U12" s="1">
        <v>14</v>
      </c>
      <c r="V12" s="1">
        <v>4.9946522619999998</v>
      </c>
      <c r="W12" s="1">
        <v>16</v>
      </c>
      <c r="X12" s="1">
        <v>1.709700829</v>
      </c>
      <c r="Y12" s="1">
        <v>14</v>
      </c>
      <c r="Z12" s="1">
        <v>0.45693676700000002</v>
      </c>
      <c r="AA12" s="1">
        <v>3.8571428569999999</v>
      </c>
      <c r="AB12" s="1">
        <v>1.3506205330000001</v>
      </c>
      <c r="AC12" s="1">
        <v>14</v>
      </c>
      <c r="AD12" s="1">
        <v>0.36096852099999999</v>
      </c>
      <c r="AE12" s="1">
        <v>3.2142857139999998</v>
      </c>
      <c r="AF12" s="1">
        <v>1.1883130529999999</v>
      </c>
      <c r="AG12" s="1">
        <v>14</v>
      </c>
      <c r="AH12" s="1">
        <v>0.31759002200000003</v>
      </c>
      <c r="AI12" s="1">
        <v>7.0714285710000002</v>
      </c>
      <c r="AJ12" s="1">
        <v>2.4950500450000002</v>
      </c>
      <c r="AK12" s="1">
        <v>14</v>
      </c>
      <c r="AL12" s="1">
        <v>0.666830174</v>
      </c>
      <c r="AM12" s="1">
        <v>103.5217391</v>
      </c>
      <c r="AN12" s="1">
        <v>6.9861523109999997</v>
      </c>
      <c r="AO12" s="1">
        <v>14</v>
      </c>
      <c r="AP12" s="1">
        <v>1.4567134559999999</v>
      </c>
      <c r="AQ12" s="1">
        <v>108.0869565</v>
      </c>
      <c r="AR12" s="1">
        <v>6.7750413849999997</v>
      </c>
      <c r="AS12" s="1">
        <v>14</v>
      </c>
      <c r="AT12" s="1">
        <v>1.4126937850000001</v>
      </c>
      <c r="AU12" s="1">
        <v>1.611111111</v>
      </c>
      <c r="AV12" s="1">
        <v>0.50163132600000004</v>
      </c>
      <c r="AW12" s="1">
        <v>18</v>
      </c>
      <c r="AX12" s="1">
        <v>0.118235637</v>
      </c>
      <c r="AY12" s="1">
        <v>1.6470588239999999</v>
      </c>
      <c r="AZ12" s="1">
        <v>0.49259218300000002</v>
      </c>
      <c r="BA12" s="1">
        <v>17</v>
      </c>
      <c r="BB12" s="1">
        <v>0.119471153</v>
      </c>
    </row>
    <row r="13" spans="1:54" ht="15.75" customHeight="1" x14ac:dyDescent="0.2">
      <c r="A13" s="1" t="s">
        <v>54</v>
      </c>
      <c r="B13" s="1" t="s">
        <v>68</v>
      </c>
      <c r="C13" s="1">
        <v>7.1150215269999997</v>
      </c>
      <c r="D13" s="1">
        <v>3.788142224</v>
      </c>
      <c r="E13" s="1">
        <v>25</v>
      </c>
      <c r="F13" s="1">
        <v>0.75762844500000004</v>
      </c>
      <c r="G13" s="1">
        <v>-40.991269840000001</v>
      </c>
      <c r="H13" s="1">
        <v>75.065828049999993</v>
      </c>
      <c r="I13" s="1">
        <v>25</v>
      </c>
      <c r="J13" s="1">
        <v>15.01316561</v>
      </c>
      <c r="K13" s="1">
        <v>7.7622538759999999</v>
      </c>
      <c r="L13" s="1">
        <v>2.4931860260000001</v>
      </c>
      <c r="M13" s="1">
        <v>24</v>
      </c>
      <c r="N13" s="1">
        <v>0.50891946700000001</v>
      </c>
      <c r="O13" s="1">
        <v>-53.816826390000003</v>
      </c>
      <c r="P13" s="1">
        <v>49.404975450000002</v>
      </c>
      <c r="Q13" s="1">
        <v>24</v>
      </c>
      <c r="R13" s="1">
        <v>10.084748380000001</v>
      </c>
      <c r="S13" s="1">
        <v>109.75</v>
      </c>
      <c r="T13" s="1">
        <v>17.146428199999999</v>
      </c>
      <c r="U13" s="1">
        <v>13</v>
      </c>
      <c r="V13" s="1">
        <v>4.7555635430000001</v>
      </c>
      <c r="W13" s="1">
        <v>20.76923077</v>
      </c>
      <c r="X13" s="1">
        <v>1.87766904</v>
      </c>
      <c r="Y13" s="1">
        <v>13</v>
      </c>
      <c r="Z13" s="1">
        <v>0.52077169300000004</v>
      </c>
      <c r="AA13" s="1">
        <v>4.846153846</v>
      </c>
      <c r="AB13" s="1">
        <v>2.154303981</v>
      </c>
      <c r="AC13" s="1">
        <v>13</v>
      </c>
      <c r="AD13" s="1">
        <v>0.59749642000000003</v>
      </c>
      <c r="AE13" s="1">
        <v>3.692307692</v>
      </c>
      <c r="AF13" s="1">
        <v>2.0568833780000002</v>
      </c>
      <c r="AG13" s="1">
        <v>13</v>
      </c>
      <c r="AH13" s="1">
        <v>0.57047680700000003</v>
      </c>
      <c r="AI13" s="1">
        <v>8.538461538</v>
      </c>
      <c r="AJ13" s="1">
        <v>4.1756313819999997</v>
      </c>
      <c r="AK13" s="1">
        <v>13</v>
      </c>
      <c r="AL13" s="1">
        <v>1.1581117729999999</v>
      </c>
      <c r="AM13" s="1">
        <v>107.0909091</v>
      </c>
      <c r="AN13" s="1">
        <v>9.2113237290000001</v>
      </c>
      <c r="AO13" s="1">
        <v>13</v>
      </c>
      <c r="AP13" s="1">
        <v>1.9638608179999999</v>
      </c>
      <c r="AQ13" s="1">
        <v>111.8636364</v>
      </c>
      <c r="AR13" s="1">
        <v>7.3762518200000002</v>
      </c>
      <c r="AS13" s="1">
        <v>13</v>
      </c>
      <c r="AT13" s="1">
        <v>1.572622172</v>
      </c>
      <c r="AU13" s="1">
        <v>1.8947368419999999</v>
      </c>
      <c r="AV13" s="1">
        <v>0.87526103</v>
      </c>
      <c r="AW13" s="1">
        <v>19</v>
      </c>
      <c r="AX13" s="1">
        <v>0.20079865199999999</v>
      </c>
      <c r="AY13" s="1">
        <v>1.4375</v>
      </c>
      <c r="AZ13" s="1">
        <v>0.51234753799999999</v>
      </c>
      <c r="BA13" s="1">
        <v>16</v>
      </c>
      <c r="BB13" s="1">
        <v>0.12808688500000001</v>
      </c>
    </row>
    <row r="14" spans="1:54" ht="15.75" customHeight="1" x14ac:dyDescent="0.2">
      <c r="A14" s="1" t="s">
        <v>59</v>
      </c>
      <c r="B14" s="1" t="s">
        <v>69</v>
      </c>
      <c r="C14" s="1">
        <v>7.582375495</v>
      </c>
      <c r="D14" s="1">
        <v>1.381495288</v>
      </c>
      <c r="E14" s="1">
        <v>14</v>
      </c>
      <c r="F14" s="1">
        <v>0.36922014600000003</v>
      </c>
      <c r="G14" s="1">
        <v>-50.252356310000003</v>
      </c>
      <c r="H14" s="1">
        <v>27.375711259999999</v>
      </c>
      <c r="I14" s="1">
        <v>14</v>
      </c>
      <c r="J14" s="1">
        <v>7.3164665910000002</v>
      </c>
      <c r="K14" s="1">
        <v>8.4136483749999993</v>
      </c>
      <c r="L14" s="1">
        <v>1.7313535330000001</v>
      </c>
      <c r="M14" s="1">
        <v>14</v>
      </c>
      <c r="N14" s="1">
        <v>0.46272369499999999</v>
      </c>
      <c r="O14" s="1">
        <v>-66.724860059999997</v>
      </c>
      <c r="P14" s="1">
        <v>34.308502400000002</v>
      </c>
      <c r="Q14" s="1">
        <v>14</v>
      </c>
      <c r="R14" s="1">
        <v>9.1693329590000001</v>
      </c>
      <c r="S14" s="1">
        <v>137.4</v>
      </c>
      <c r="T14" s="1">
        <v>18.434267609999999</v>
      </c>
      <c r="U14" s="1">
        <v>10</v>
      </c>
      <c r="V14" s="1">
        <v>5.8294272640000004</v>
      </c>
      <c r="W14" s="1">
        <v>21.7</v>
      </c>
      <c r="X14" s="1">
        <v>1.6363916940000001</v>
      </c>
      <c r="Y14" s="1">
        <v>10</v>
      </c>
      <c r="Z14" s="1">
        <v>0.51747248999999995</v>
      </c>
      <c r="AA14" s="1">
        <v>6.3</v>
      </c>
      <c r="AB14" s="1">
        <v>0.94868329799999995</v>
      </c>
      <c r="AC14" s="1">
        <v>10</v>
      </c>
      <c r="AD14" s="1">
        <v>0.3</v>
      </c>
      <c r="AE14" s="1">
        <v>5.2</v>
      </c>
      <c r="AF14" s="1">
        <v>0.78881063799999995</v>
      </c>
      <c r="AG14" s="1">
        <v>10</v>
      </c>
      <c r="AH14" s="1">
        <v>0.24944382600000001</v>
      </c>
      <c r="AI14" s="1">
        <v>11.5</v>
      </c>
      <c r="AJ14" s="1">
        <v>1.715938357</v>
      </c>
      <c r="AK14" s="1">
        <v>10</v>
      </c>
      <c r="AL14" s="1">
        <v>0.54262735299999998</v>
      </c>
      <c r="AM14" s="1">
        <v>117.4</v>
      </c>
      <c r="AN14" s="1">
        <v>6.4325560839999998</v>
      </c>
      <c r="AO14" s="1">
        <v>10</v>
      </c>
      <c r="AP14" s="1">
        <v>2.03415284</v>
      </c>
      <c r="AQ14" s="1">
        <v>122.3</v>
      </c>
      <c r="AR14" s="1">
        <v>6.1291652499999998</v>
      </c>
      <c r="AS14" s="1">
        <v>10</v>
      </c>
      <c r="AT14" s="1">
        <v>1.9382122349999999</v>
      </c>
      <c r="AU14" s="1">
        <v>1.375</v>
      </c>
      <c r="AV14" s="1">
        <v>0.74402380899999998</v>
      </c>
      <c r="AW14" s="1">
        <v>8</v>
      </c>
      <c r="AX14" s="1">
        <v>0.26305213999999999</v>
      </c>
      <c r="AY14" s="1">
        <v>1</v>
      </c>
      <c r="AZ14" s="1">
        <v>0</v>
      </c>
      <c r="BA14" s="1">
        <v>5</v>
      </c>
      <c r="BB14" s="1">
        <v>0</v>
      </c>
    </row>
    <row r="15" spans="1:54" ht="15.75" customHeight="1" x14ac:dyDescent="0.2">
      <c r="A15" s="1" t="s">
        <v>54</v>
      </c>
      <c r="B15" s="1" t="s">
        <v>70</v>
      </c>
      <c r="C15" s="1">
        <v>8.562713746</v>
      </c>
      <c r="D15" s="1">
        <v>2.5651806609999999</v>
      </c>
      <c r="E15" s="1">
        <v>25</v>
      </c>
      <c r="F15" s="1">
        <v>0.51303613199999998</v>
      </c>
      <c r="G15" s="1">
        <v>-69.678739519999993</v>
      </c>
      <c r="H15" s="1">
        <v>50.831621159999997</v>
      </c>
      <c r="I15" s="1">
        <v>25</v>
      </c>
      <c r="J15" s="1">
        <v>10.166324230000001</v>
      </c>
      <c r="K15" s="1">
        <v>8.9073356080000003</v>
      </c>
      <c r="L15" s="1">
        <v>1.6986384450000001</v>
      </c>
      <c r="M15" s="1">
        <v>25</v>
      </c>
      <c r="N15" s="1">
        <v>0.339727689</v>
      </c>
      <c r="O15" s="1">
        <v>-76.507766509999996</v>
      </c>
      <c r="P15" s="1">
        <v>33.660220219999999</v>
      </c>
      <c r="Q15" s="1">
        <v>25</v>
      </c>
      <c r="R15" s="1">
        <v>6.7320440430000001</v>
      </c>
      <c r="S15" s="1">
        <v>119.0666667</v>
      </c>
      <c r="T15" s="1">
        <v>7.8253632199999998</v>
      </c>
      <c r="U15" s="1">
        <v>15</v>
      </c>
      <c r="V15" s="1">
        <v>2.0205000950000001</v>
      </c>
      <c r="W15" s="1">
        <v>20.533333330000001</v>
      </c>
      <c r="X15" s="1">
        <v>0.99043040199999999</v>
      </c>
      <c r="Y15" s="1">
        <v>15</v>
      </c>
      <c r="Z15" s="1">
        <v>0.25572803</v>
      </c>
      <c r="AA15" s="1">
        <v>4.266666667</v>
      </c>
      <c r="AB15" s="1">
        <v>1.3870146080000001</v>
      </c>
      <c r="AC15" s="1">
        <v>15</v>
      </c>
      <c r="AD15" s="1">
        <v>0.35812563200000003</v>
      </c>
      <c r="AE15" s="1">
        <v>3.2</v>
      </c>
      <c r="AF15" s="1">
        <v>1.2649110640000001</v>
      </c>
      <c r="AG15" s="1">
        <v>15</v>
      </c>
      <c r="AH15" s="1">
        <v>0.326598632</v>
      </c>
      <c r="AI15" s="1">
        <v>7.4666666670000001</v>
      </c>
      <c r="AJ15" s="1">
        <v>2.6149751889999999</v>
      </c>
      <c r="AK15" s="1">
        <v>15</v>
      </c>
      <c r="AL15" s="1">
        <v>0.67518369</v>
      </c>
      <c r="AM15" s="1">
        <v>101.72</v>
      </c>
      <c r="AN15" s="1">
        <v>4.2770706489999997</v>
      </c>
      <c r="AO15" s="1">
        <v>15</v>
      </c>
      <c r="AP15" s="1">
        <v>0.85541412999999999</v>
      </c>
      <c r="AQ15" s="1">
        <v>104.52</v>
      </c>
      <c r="AR15" s="1">
        <v>4.4639295099999998</v>
      </c>
      <c r="AS15" s="1">
        <v>15</v>
      </c>
      <c r="AT15" s="1">
        <v>0.89278590199999996</v>
      </c>
      <c r="AU15" s="1">
        <v>2.2916666669999999</v>
      </c>
      <c r="AV15" s="1">
        <v>0.75060362199999997</v>
      </c>
      <c r="AW15" s="1">
        <v>24</v>
      </c>
      <c r="AX15" s="1">
        <v>0.15321632299999999</v>
      </c>
      <c r="AY15" s="1">
        <v>1.9166666670000001</v>
      </c>
      <c r="AZ15" s="1">
        <v>0.40824829000000001</v>
      </c>
      <c r="BA15" s="1">
        <v>24</v>
      </c>
      <c r="BB15" s="1">
        <v>8.3333332999999996E-2</v>
      </c>
    </row>
    <row r="16" spans="1:54" ht="15.75" customHeight="1" x14ac:dyDescent="0.2"/>
    <row r="17" spans="1:54" ht="15.75" customHeight="1" x14ac:dyDescent="0.2">
      <c r="A17" s="1" t="s">
        <v>54</v>
      </c>
      <c r="B17" s="1" t="s">
        <v>71</v>
      </c>
      <c r="C17" s="1">
        <v>2.960545459</v>
      </c>
      <c r="D17" s="1">
        <v>2.3543878789999999</v>
      </c>
      <c r="E17" s="1">
        <v>25</v>
      </c>
      <c r="F17" s="1">
        <v>0.47087757600000002</v>
      </c>
      <c r="G17" s="1">
        <v>41.333829829999999</v>
      </c>
      <c r="H17" s="1">
        <v>46.654551300000001</v>
      </c>
      <c r="I17" s="1">
        <v>25</v>
      </c>
      <c r="J17" s="1">
        <v>9.3309102599999996</v>
      </c>
      <c r="K17" s="1">
        <v>5.0534275009999998</v>
      </c>
      <c r="L17" s="1">
        <v>1.884039679</v>
      </c>
      <c r="M17" s="1">
        <v>24</v>
      </c>
      <c r="N17" s="1">
        <v>0.38457798900000001</v>
      </c>
      <c r="O17" s="1">
        <v>-0.13872167799999999</v>
      </c>
      <c r="P17" s="1">
        <v>37.334131149999997</v>
      </c>
      <c r="Q17" s="1">
        <v>24</v>
      </c>
      <c r="R17" s="1">
        <v>7.6207976100000003</v>
      </c>
      <c r="S17" s="1">
        <v>119.95</v>
      </c>
      <c r="T17" s="1">
        <v>17.210410060000001</v>
      </c>
      <c r="U17" s="1">
        <v>15</v>
      </c>
      <c r="V17" s="1">
        <v>4.4437087679999996</v>
      </c>
      <c r="W17" s="1">
        <v>20.866666670000001</v>
      </c>
      <c r="X17" s="1">
        <v>1.457329587</v>
      </c>
      <c r="Y17" s="1">
        <v>15</v>
      </c>
      <c r="Z17" s="1">
        <v>0.37628088100000001</v>
      </c>
      <c r="AA17" s="1">
        <v>3.4666666670000001</v>
      </c>
      <c r="AB17" s="1">
        <v>1.187233679</v>
      </c>
      <c r="AC17" s="1">
        <v>15</v>
      </c>
      <c r="AD17" s="1">
        <v>0.30654241799999998</v>
      </c>
      <c r="AE17" s="1">
        <v>2.4</v>
      </c>
      <c r="AF17" s="1">
        <v>1.298350602</v>
      </c>
      <c r="AG17" s="1">
        <v>15</v>
      </c>
      <c r="AH17" s="1">
        <v>0.335232684</v>
      </c>
      <c r="AI17" s="1">
        <v>5.8666666669999996</v>
      </c>
      <c r="AJ17" s="1">
        <v>2.4455985729999998</v>
      </c>
      <c r="AK17" s="1">
        <v>15</v>
      </c>
      <c r="AL17" s="1">
        <v>0.63145083599999996</v>
      </c>
      <c r="AM17" s="1">
        <v>102</v>
      </c>
      <c r="AN17" s="1">
        <v>6.0621778260000001</v>
      </c>
      <c r="AO17" s="1">
        <v>15</v>
      </c>
      <c r="AP17" s="1">
        <v>1.212435565</v>
      </c>
      <c r="AQ17" s="1">
        <v>108.16</v>
      </c>
      <c r="AR17" s="1">
        <v>7.0927192720000001</v>
      </c>
      <c r="AS17" s="1">
        <v>15</v>
      </c>
      <c r="AT17" s="1">
        <v>1.4185438539999999</v>
      </c>
      <c r="AU17" s="1">
        <v>1.6666666670000001</v>
      </c>
      <c r="AV17" s="1">
        <v>0.76138698800000004</v>
      </c>
      <c r="AW17" s="1">
        <v>24</v>
      </c>
      <c r="AX17" s="1">
        <v>0.155417468</v>
      </c>
      <c r="AY17" s="1">
        <v>1.5416666670000001</v>
      </c>
      <c r="AZ17" s="1">
        <v>0.58822996599999999</v>
      </c>
      <c r="BA17" s="1">
        <v>24</v>
      </c>
      <c r="BB17" s="1">
        <v>0.120071939</v>
      </c>
    </row>
    <row r="18" spans="1:54" ht="15.75" customHeight="1" x14ac:dyDescent="0.2">
      <c r="A18" s="1" t="s">
        <v>59</v>
      </c>
      <c r="B18" s="1" t="s">
        <v>72</v>
      </c>
      <c r="C18" s="1">
        <v>3.0902559119999999</v>
      </c>
      <c r="D18" s="1">
        <v>1.382920427</v>
      </c>
      <c r="E18" s="1">
        <v>6</v>
      </c>
      <c r="F18" s="1">
        <v>0.56457489999999999</v>
      </c>
      <c r="G18" s="1">
        <v>38.763487429999998</v>
      </c>
      <c r="H18" s="1">
        <v>27.403951809999999</v>
      </c>
      <c r="I18" s="1">
        <v>6</v>
      </c>
      <c r="J18" s="1">
        <v>11.187616480000001</v>
      </c>
      <c r="K18" s="1">
        <v>4.1252708460000003</v>
      </c>
      <c r="L18" s="1">
        <v>1.2904025379999999</v>
      </c>
      <c r="M18" s="1">
        <v>6</v>
      </c>
      <c r="N18" s="1">
        <v>0.52680463</v>
      </c>
      <c r="O18" s="1">
        <v>18.25363102</v>
      </c>
      <c r="P18" s="1">
        <v>25.57061728</v>
      </c>
      <c r="Q18" s="1">
        <v>6</v>
      </c>
      <c r="R18" s="1">
        <v>10.439160790000001</v>
      </c>
      <c r="S18" s="1">
        <v>69.458333330000002</v>
      </c>
      <c r="T18" s="1">
        <v>8.4976712499999998</v>
      </c>
      <c r="U18" s="1">
        <v>6</v>
      </c>
      <c r="V18" s="1">
        <v>3.4691597609999998</v>
      </c>
      <c r="W18" s="1">
        <v>12.33333333</v>
      </c>
      <c r="X18" s="1">
        <v>1.366260102</v>
      </c>
      <c r="Y18" s="1">
        <v>6</v>
      </c>
      <c r="Z18" s="1">
        <v>0.55777335100000003</v>
      </c>
      <c r="AA18" s="1">
        <v>2</v>
      </c>
      <c r="AB18" s="1">
        <v>0.63245553200000004</v>
      </c>
      <c r="AC18" s="1">
        <v>6</v>
      </c>
      <c r="AD18" s="1">
        <v>0.25819889000000001</v>
      </c>
      <c r="AE18" s="1">
        <v>1.1666666670000001</v>
      </c>
      <c r="AF18" s="1">
        <v>0.75277265299999996</v>
      </c>
      <c r="AG18" s="1">
        <v>6</v>
      </c>
      <c r="AH18" s="1">
        <v>0.30731814899999998</v>
      </c>
      <c r="AI18" s="1">
        <v>3.1666666669999999</v>
      </c>
      <c r="AJ18" s="1">
        <v>1.169045194</v>
      </c>
      <c r="AK18" s="1">
        <v>6</v>
      </c>
      <c r="AL18" s="1">
        <v>0.47726070199999998</v>
      </c>
      <c r="AM18" s="1">
        <v>74</v>
      </c>
      <c r="AN18" s="1">
        <v>4.4271887239999996</v>
      </c>
      <c r="AO18" s="1">
        <v>6</v>
      </c>
      <c r="AP18" s="1">
        <v>1.8073922280000001</v>
      </c>
      <c r="AQ18" s="1">
        <v>79.833333330000002</v>
      </c>
      <c r="AR18" s="1">
        <v>2.857738033</v>
      </c>
      <c r="AS18" s="1">
        <v>6</v>
      </c>
      <c r="AT18" s="1">
        <v>1.1666666670000001</v>
      </c>
      <c r="AU18" s="1">
        <v>1.3333333329999999</v>
      </c>
      <c r="AV18" s="1">
        <v>0.51639777899999995</v>
      </c>
      <c r="AW18" s="1">
        <v>6</v>
      </c>
      <c r="AX18" s="1">
        <v>0.21081851099999999</v>
      </c>
      <c r="AY18" s="1">
        <v>1.3333333329999999</v>
      </c>
      <c r="AZ18" s="1">
        <v>0.51639777899999995</v>
      </c>
      <c r="BA18" s="1">
        <v>6</v>
      </c>
      <c r="BB18" s="1">
        <v>0.21081851099999999</v>
      </c>
    </row>
    <row r="19" spans="1:54" ht="15.75" customHeight="1" x14ac:dyDescent="0.2"/>
    <row r="20" spans="1:54" ht="15.75" customHeight="1" x14ac:dyDescent="0.2">
      <c r="A20" s="1" t="s">
        <v>73</v>
      </c>
      <c r="B20" s="1" t="s">
        <v>74</v>
      </c>
      <c r="C20" s="1">
        <v>1.3522654089999999</v>
      </c>
      <c r="D20" s="1">
        <v>1.625725756</v>
      </c>
      <c r="E20" s="1">
        <v>27</v>
      </c>
      <c r="F20" s="1">
        <v>0.31287106799999997</v>
      </c>
      <c r="G20" s="1">
        <v>73.203508029999995</v>
      </c>
      <c r="H20" s="1">
        <v>32.215382329999997</v>
      </c>
      <c r="I20" s="1">
        <v>27</v>
      </c>
      <c r="J20" s="1">
        <v>6.1998532190000004</v>
      </c>
      <c r="K20" s="1">
        <v>3.091878983</v>
      </c>
      <c r="L20" s="1">
        <v>1.6789354089999999</v>
      </c>
      <c r="M20" s="1">
        <v>27</v>
      </c>
      <c r="N20" s="1">
        <v>0.32311127000000001</v>
      </c>
      <c r="O20" s="1">
        <v>38.731324649999998</v>
      </c>
      <c r="P20" s="1">
        <v>33.269784850000001</v>
      </c>
      <c r="Q20" s="1">
        <v>27</v>
      </c>
      <c r="R20" s="1">
        <v>6.4027730790000001</v>
      </c>
      <c r="S20" s="1">
        <v>119.3235294</v>
      </c>
      <c r="T20" s="1">
        <v>13.31492487</v>
      </c>
      <c r="U20" s="1">
        <v>17</v>
      </c>
      <c r="V20" s="1">
        <v>3.2293436249999998</v>
      </c>
      <c r="W20" s="1">
        <v>23.823529409999999</v>
      </c>
      <c r="X20" s="1">
        <v>2.4554860550000002</v>
      </c>
      <c r="Y20" s="1">
        <v>17</v>
      </c>
      <c r="Z20" s="1">
        <v>0.59554284499999999</v>
      </c>
      <c r="AA20" s="1">
        <v>4.3529411759999999</v>
      </c>
      <c r="AB20" s="1">
        <v>1.998160919</v>
      </c>
      <c r="AC20" s="1">
        <v>17</v>
      </c>
      <c r="AD20" s="1">
        <v>0.484625207</v>
      </c>
      <c r="AE20" s="1">
        <v>3.4705882350000001</v>
      </c>
      <c r="AF20" s="1">
        <v>1.9078013220000001</v>
      </c>
      <c r="AG20" s="1">
        <v>17</v>
      </c>
      <c r="AH20" s="1">
        <v>0.46270978600000001</v>
      </c>
      <c r="AI20" s="1">
        <v>7.8235294120000001</v>
      </c>
      <c r="AJ20" s="1">
        <v>3.8928667799999999</v>
      </c>
      <c r="AK20" s="1">
        <v>17</v>
      </c>
      <c r="AL20" s="1">
        <v>0.94415887799999998</v>
      </c>
      <c r="AM20" s="1">
        <v>114.70370370000001</v>
      </c>
      <c r="AN20" s="1">
        <v>6.1507648980000003</v>
      </c>
      <c r="AO20" s="1">
        <v>17</v>
      </c>
      <c r="AP20" s="1">
        <v>1.183715257</v>
      </c>
      <c r="AQ20" s="1">
        <v>124.29629629999999</v>
      </c>
      <c r="AR20" s="1">
        <v>6.449894542</v>
      </c>
      <c r="AS20" s="1">
        <v>17</v>
      </c>
      <c r="AT20" s="1">
        <v>1.2412827829999999</v>
      </c>
      <c r="AU20" s="1" t="s">
        <v>56</v>
      </c>
      <c r="AV20" s="1" t="s">
        <v>56</v>
      </c>
      <c r="AW20" s="1">
        <v>0</v>
      </c>
      <c r="AX20" s="1" t="s">
        <v>56</v>
      </c>
      <c r="AY20" s="1" t="s">
        <v>56</v>
      </c>
      <c r="AZ20" s="1" t="s">
        <v>56</v>
      </c>
      <c r="BA20" s="1">
        <v>0</v>
      </c>
      <c r="BB20" s="1" t="s">
        <v>56</v>
      </c>
    </row>
    <row r="21" spans="1:54" ht="15.75" customHeight="1" x14ac:dyDescent="0.2">
      <c r="A21" s="1" t="s">
        <v>73</v>
      </c>
      <c r="B21" s="1" t="s">
        <v>75</v>
      </c>
      <c r="C21" s="1">
        <v>2.406094849</v>
      </c>
      <c r="D21" s="1">
        <v>1.0736632269999999</v>
      </c>
      <c r="E21" s="1">
        <v>8</v>
      </c>
      <c r="F21" s="1">
        <v>0.37959727399999998</v>
      </c>
      <c r="G21" s="1">
        <v>52.32082338</v>
      </c>
      <c r="H21" s="1">
        <v>21.27571099</v>
      </c>
      <c r="I21" s="1">
        <v>8</v>
      </c>
      <c r="J21" s="1">
        <v>7.5220997589999996</v>
      </c>
      <c r="K21" s="1">
        <v>3.792712146</v>
      </c>
      <c r="L21" s="1">
        <v>2.541349104</v>
      </c>
      <c r="M21" s="1">
        <v>7</v>
      </c>
      <c r="N21" s="1">
        <v>0.96053967500000004</v>
      </c>
      <c r="O21" s="1">
        <v>24.843614370000001</v>
      </c>
      <c r="P21" s="1">
        <v>50.359375020000002</v>
      </c>
      <c r="Q21" s="1">
        <v>7</v>
      </c>
      <c r="R21" s="1">
        <v>19.034054640000001</v>
      </c>
      <c r="S21" s="1">
        <v>56.864285709999997</v>
      </c>
      <c r="T21" s="1">
        <v>9.0417879079999999</v>
      </c>
      <c r="U21" s="1">
        <v>7</v>
      </c>
      <c r="V21" s="1">
        <v>3.417474602</v>
      </c>
      <c r="W21" s="1">
        <v>20.85714286</v>
      </c>
      <c r="X21" s="1">
        <v>2.7945525240000002</v>
      </c>
      <c r="Y21" s="1">
        <v>7</v>
      </c>
      <c r="Z21" s="1">
        <v>1.056241572</v>
      </c>
      <c r="AA21" s="1">
        <v>6.4285714289999998</v>
      </c>
      <c r="AB21" s="1">
        <v>0.97590007300000003</v>
      </c>
      <c r="AC21" s="1">
        <v>7</v>
      </c>
      <c r="AD21" s="1">
        <v>0.368855557</v>
      </c>
      <c r="AE21" s="1">
        <v>5.2857142860000002</v>
      </c>
      <c r="AF21" s="1">
        <v>1.3801311190000001</v>
      </c>
      <c r="AG21" s="1">
        <v>7</v>
      </c>
      <c r="AH21" s="1">
        <v>0.52164053099999996</v>
      </c>
      <c r="AI21" s="1">
        <v>11.71428571</v>
      </c>
      <c r="AJ21" s="1">
        <v>2.288688541</v>
      </c>
      <c r="AK21" s="1">
        <v>7</v>
      </c>
      <c r="AL21" s="1">
        <v>0.86504295799999997</v>
      </c>
      <c r="AM21" s="1">
        <v>130</v>
      </c>
      <c r="AN21" s="1">
        <v>0</v>
      </c>
      <c r="AO21" s="1">
        <v>7</v>
      </c>
      <c r="AP21" s="1">
        <v>0</v>
      </c>
      <c r="AQ21" s="1" t="s">
        <v>56</v>
      </c>
      <c r="AR21" s="1" t="s">
        <v>56</v>
      </c>
      <c r="AS21" s="1">
        <v>7</v>
      </c>
      <c r="AT21" s="1" t="s">
        <v>56</v>
      </c>
      <c r="AU21" s="1" t="s">
        <v>56</v>
      </c>
      <c r="AV21" s="1" t="s">
        <v>56</v>
      </c>
      <c r="AW21" s="1">
        <v>0</v>
      </c>
      <c r="AX21" s="1" t="s">
        <v>56</v>
      </c>
      <c r="AY21" s="1" t="s">
        <v>56</v>
      </c>
      <c r="AZ21" s="1" t="s">
        <v>56</v>
      </c>
      <c r="BA21" s="1">
        <v>0</v>
      </c>
      <c r="BB21" s="1" t="s">
        <v>56</v>
      </c>
    </row>
    <row r="22" spans="1:54" ht="15.75" customHeight="1" x14ac:dyDescent="0.2">
      <c r="A22" s="1" t="s">
        <v>73</v>
      </c>
      <c r="B22" s="1" t="s">
        <v>76</v>
      </c>
      <c r="C22" s="1">
        <v>2.9083361210000001</v>
      </c>
      <c r="D22" s="1">
        <v>1.1370151930000001</v>
      </c>
      <c r="E22" s="1">
        <v>34</v>
      </c>
      <c r="F22" s="1">
        <v>0.19499649699999999</v>
      </c>
      <c r="G22" s="1">
        <v>42.368410099999998</v>
      </c>
      <c r="H22" s="1">
        <v>22.531093599999998</v>
      </c>
      <c r="I22" s="1">
        <v>34</v>
      </c>
      <c r="J22" s="1">
        <v>3.864050674</v>
      </c>
      <c r="K22" s="1">
        <v>3.719335761</v>
      </c>
      <c r="L22" s="1">
        <v>2.189853136</v>
      </c>
      <c r="M22" s="1">
        <v>34</v>
      </c>
      <c r="N22" s="1">
        <v>0.37555671499999999</v>
      </c>
      <c r="O22" s="1">
        <v>26.297640850000001</v>
      </c>
      <c r="P22" s="1">
        <v>43.394130760000003</v>
      </c>
      <c r="Q22" s="1">
        <v>34</v>
      </c>
      <c r="R22" s="1">
        <v>7.4420320279999999</v>
      </c>
      <c r="S22" s="1">
        <v>70.252083330000005</v>
      </c>
      <c r="T22" s="1">
        <v>15.37651003</v>
      </c>
      <c r="U22" s="1">
        <v>24</v>
      </c>
      <c r="V22" s="1">
        <v>3.1387169660000001</v>
      </c>
      <c r="W22" s="1">
        <v>19.541666670000001</v>
      </c>
      <c r="X22" s="1">
        <v>3.387690847</v>
      </c>
      <c r="Y22" s="1">
        <v>24</v>
      </c>
      <c r="Z22" s="1">
        <v>0.69150949799999994</v>
      </c>
      <c r="AA22" s="1">
        <v>3.0416666669999999</v>
      </c>
      <c r="AB22" s="1">
        <v>1.082636342</v>
      </c>
      <c r="AC22" s="1">
        <v>24</v>
      </c>
      <c r="AD22" s="1">
        <v>0.22099221799999999</v>
      </c>
      <c r="AE22" s="1">
        <v>2.0416666669999999</v>
      </c>
      <c r="AF22" s="1">
        <v>1.082636342</v>
      </c>
      <c r="AG22" s="1">
        <v>24</v>
      </c>
      <c r="AH22" s="1">
        <v>0.22099221799999999</v>
      </c>
      <c r="AI22" s="1">
        <v>5.0833333329999997</v>
      </c>
      <c r="AJ22" s="1">
        <v>2.1652726840000001</v>
      </c>
      <c r="AK22" s="1">
        <v>24</v>
      </c>
      <c r="AL22" s="1">
        <v>0.44198443599999998</v>
      </c>
      <c r="AM22" s="1">
        <v>130</v>
      </c>
      <c r="AN22" s="1">
        <v>0</v>
      </c>
      <c r="AO22" s="1">
        <v>24</v>
      </c>
      <c r="AP22" s="1">
        <v>0</v>
      </c>
      <c r="AQ22" s="1" t="s">
        <v>56</v>
      </c>
      <c r="AR22" s="1" t="s">
        <v>56</v>
      </c>
      <c r="AS22" s="1">
        <v>24</v>
      </c>
      <c r="AT22" s="1" t="s">
        <v>56</v>
      </c>
      <c r="AU22" s="1" t="s">
        <v>56</v>
      </c>
      <c r="AV22" s="1" t="s">
        <v>56</v>
      </c>
      <c r="AW22" s="1">
        <v>0</v>
      </c>
      <c r="AX22" s="1" t="s">
        <v>56</v>
      </c>
      <c r="AY22" s="1" t="s">
        <v>56</v>
      </c>
      <c r="AZ22" s="1" t="s">
        <v>56</v>
      </c>
      <c r="BA22" s="1">
        <v>0</v>
      </c>
      <c r="BB22" s="1" t="s">
        <v>56</v>
      </c>
    </row>
    <row r="23" spans="1:54" ht="15.75" customHeight="1" x14ac:dyDescent="0.2"/>
    <row r="24" spans="1:54" ht="15.75" customHeight="1" x14ac:dyDescent="0.2">
      <c r="A24" s="1" t="s">
        <v>77</v>
      </c>
      <c r="B24" s="1" t="s">
        <v>78</v>
      </c>
      <c r="C24" s="1">
        <v>4.5755428800000004</v>
      </c>
      <c r="D24" s="1">
        <v>0.92501614600000004</v>
      </c>
      <c r="E24" s="1">
        <v>22</v>
      </c>
      <c r="F24" s="1">
        <v>0.197214105</v>
      </c>
      <c r="G24" s="1">
        <v>9.3310401929999998</v>
      </c>
      <c r="H24" s="1">
        <v>18.33012038</v>
      </c>
      <c r="I24" s="1">
        <v>22</v>
      </c>
      <c r="J24" s="1">
        <v>3.9079947970000002</v>
      </c>
      <c r="K24" s="1" t="s">
        <v>56</v>
      </c>
      <c r="L24" s="1" t="s">
        <v>56</v>
      </c>
      <c r="M24" s="1">
        <v>0</v>
      </c>
      <c r="N24" s="1" t="s">
        <v>56</v>
      </c>
      <c r="O24" s="1" t="s">
        <v>56</v>
      </c>
      <c r="P24" s="1" t="s">
        <v>56</v>
      </c>
      <c r="Q24" s="1">
        <v>0</v>
      </c>
      <c r="R24" s="1" t="s">
        <v>56</v>
      </c>
      <c r="S24" s="1">
        <v>52.803571429999998</v>
      </c>
      <c r="T24" s="1">
        <v>6.2320346190000002</v>
      </c>
      <c r="U24" s="1">
        <v>14</v>
      </c>
      <c r="V24" s="1">
        <v>1.665581312</v>
      </c>
      <c r="W24" s="1">
        <v>11.14285714</v>
      </c>
      <c r="X24" s="1">
        <v>1.0271051819999999</v>
      </c>
      <c r="Y24" s="1">
        <v>14</v>
      </c>
      <c r="Z24" s="1">
        <v>0.27450540699999998</v>
      </c>
      <c r="AA24" s="1">
        <v>1.571428571</v>
      </c>
      <c r="AB24" s="1">
        <v>0.64620617300000005</v>
      </c>
      <c r="AC24" s="1">
        <v>14</v>
      </c>
      <c r="AD24" s="1">
        <v>0.17270586399999999</v>
      </c>
      <c r="AE24" s="1">
        <v>1.1428571430000001</v>
      </c>
      <c r="AF24" s="1">
        <v>0.53452248400000002</v>
      </c>
      <c r="AG24" s="1">
        <v>14</v>
      </c>
      <c r="AH24" s="1">
        <v>0.14285714299999999</v>
      </c>
      <c r="AI24" s="1">
        <v>2.7142857139999998</v>
      </c>
      <c r="AJ24" s="1">
        <v>1.069044968</v>
      </c>
      <c r="AK24" s="1">
        <v>14</v>
      </c>
      <c r="AL24" s="1">
        <v>0.28571428599999998</v>
      </c>
      <c r="AM24" s="1">
        <v>74.636363639999999</v>
      </c>
      <c r="AN24" s="1">
        <v>2.0597146020000001</v>
      </c>
      <c r="AO24" s="1">
        <v>14</v>
      </c>
      <c r="AP24" s="1">
        <v>0.439132629</v>
      </c>
      <c r="AQ24" s="1">
        <v>80.045454550000002</v>
      </c>
      <c r="AR24" s="1">
        <v>3.2729377039999998</v>
      </c>
      <c r="AS24" s="1">
        <v>14</v>
      </c>
      <c r="AT24" s="1">
        <v>0.69779266299999998</v>
      </c>
      <c r="AU24" s="1">
        <v>1.636363636</v>
      </c>
      <c r="AV24" s="1">
        <v>0.58108720300000005</v>
      </c>
      <c r="AW24" s="1">
        <v>22</v>
      </c>
      <c r="AX24" s="1">
        <v>0.123888208</v>
      </c>
      <c r="AY24" s="1">
        <v>1.25</v>
      </c>
      <c r="AZ24" s="1">
        <v>0.444261658</v>
      </c>
      <c r="BA24" s="1">
        <v>20</v>
      </c>
      <c r="BB24" s="1">
        <v>9.9339926999999995E-2</v>
      </c>
    </row>
    <row r="25" spans="1:54" ht="15.75" customHeight="1" x14ac:dyDescent="0.2">
      <c r="A25" s="1" t="s">
        <v>77</v>
      </c>
      <c r="B25" s="1" t="s">
        <v>79</v>
      </c>
      <c r="C25" s="1">
        <v>5.0624044509999999</v>
      </c>
      <c r="D25" s="1">
        <v>3.6662993130000001</v>
      </c>
      <c r="E25" s="1">
        <v>155</v>
      </c>
      <c r="F25" s="1">
        <v>0.29448424699999998</v>
      </c>
      <c r="G25" s="1" t="s">
        <v>56</v>
      </c>
      <c r="H25" s="1" t="s">
        <v>56</v>
      </c>
      <c r="I25" s="1">
        <v>0</v>
      </c>
      <c r="J25" s="1" t="s">
        <v>56</v>
      </c>
      <c r="K25" s="1" t="s">
        <v>56</v>
      </c>
      <c r="L25" s="1" t="s">
        <v>56</v>
      </c>
      <c r="M25" s="1">
        <v>0</v>
      </c>
      <c r="N25" s="1" t="s">
        <v>56</v>
      </c>
      <c r="O25" s="1" t="s">
        <v>56</v>
      </c>
      <c r="P25" s="1" t="s">
        <v>56</v>
      </c>
      <c r="Q25" s="1">
        <v>0</v>
      </c>
      <c r="R25" s="1" t="s">
        <v>56</v>
      </c>
      <c r="S25" s="1">
        <v>62.48808511</v>
      </c>
      <c r="T25" s="1">
        <v>7.5014880640000001</v>
      </c>
      <c r="U25" s="1">
        <v>94</v>
      </c>
      <c r="V25" s="1">
        <v>0.77371941700000002</v>
      </c>
      <c r="W25" s="1">
        <v>11.884210530000001</v>
      </c>
      <c r="X25" s="1">
        <v>1.1747626099999999</v>
      </c>
      <c r="Y25" s="1">
        <v>95</v>
      </c>
      <c r="Z25" s="1">
        <v>0.120528101</v>
      </c>
      <c r="AA25" s="1">
        <v>1.747368421</v>
      </c>
      <c r="AB25" s="1">
        <v>0.77140961100000005</v>
      </c>
      <c r="AC25" s="1">
        <v>95</v>
      </c>
      <c r="AD25" s="1">
        <v>7.9144956000000002E-2</v>
      </c>
      <c r="AE25" s="1">
        <v>1.021052632</v>
      </c>
      <c r="AF25" s="1">
        <v>0.52549768399999996</v>
      </c>
      <c r="AG25" s="1">
        <v>95</v>
      </c>
      <c r="AH25" s="1">
        <v>5.3914925000000002E-2</v>
      </c>
      <c r="AI25" s="1">
        <v>2.768421053</v>
      </c>
      <c r="AJ25" s="1">
        <v>1.0763673300000001</v>
      </c>
      <c r="AK25" s="1">
        <v>95</v>
      </c>
      <c r="AL25" s="1">
        <v>0.110432958</v>
      </c>
      <c r="AM25" s="1">
        <v>74</v>
      </c>
      <c r="AN25" s="1">
        <v>4.2349309939999999</v>
      </c>
      <c r="AO25" s="1">
        <v>94</v>
      </c>
      <c r="AP25" s="1">
        <v>0.34126046500000001</v>
      </c>
      <c r="AQ25" s="1">
        <v>79.535947710000002</v>
      </c>
      <c r="AR25" s="1">
        <v>3.9051688819999999</v>
      </c>
      <c r="AS25" s="1">
        <v>94</v>
      </c>
      <c r="AT25" s="1">
        <v>0.315714192</v>
      </c>
      <c r="AU25" s="1">
        <v>1.5974025970000001</v>
      </c>
      <c r="AV25" s="1">
        <v>0.51790781399999997</v>
      </c>
      <c r="AW25" s="1">
        <v>154</v>
      </c>
      <c r="AX25" s="1">
        <v>4.1734200999999999E-2</v>
      </c>
      <c r="AY25" s="1">
        <v>1.3376623379999999</v>
      </c>
      <c r="AZ25" s="1">
        <v>0.474455715</v>
      </c>
      <c r="BA25" s="1">
        <v>154</v>
      </c>
      <c r="BB25" s="1">
        <v>3.8232730999999999E-2</v>
      </c>
    </row>
    <row r="26" spans="1:54" ht="15.75" customHeight="1" x14ac:dyDescent="0.2">
      <c r="A26" s="1" t="s">
        <v>77</v>
      </c>
      <c r="B26" s="1" t="s">
        <v>80</v>
      </c>
      <c r="C26" s="1">
        <v>6.6937726250000003</v>
      </c>
      <c r="D26" s="1">
        <v>1.935338228</v>
      </c>
      <c r="E26" s="1">
        <v>27</v>
      </c>
      <c r="F26" s="1">
        <v>0.372456016</v>
      </c>
      <c r="G26" s="1">
        <v>-32.643801420000003</v>
      </c>
      <c r="H26" s="1">
        <v>38.35066321</v>
      </c>
      <c r="I26" s="1">
        <v>27</v>
      </c>
      <c r="J26" s="1">
        <v>7.3805885770000002</v>
      </c>
      <c r="K26" s="1" t="s">
        <v>56</v>
      </c>
      <c r="L26" s="1" t="s">
        <v>56</v>
      </c>
      <c r="M26" s="1">
        <v>0</v>
      </c>
      <c r="N26" s="1" t="s">
        <v>56</v>
      </c>
      <c r="O26" s="1" t="s">
        <v>56</v>
      </c>
      <c r="P26" s="1" t="s">
        <v>56</v>
      </c>
      <c r="Q26" s="1">
        <v>0</v>
      </c>
      <c r="R26" s="1" t="s">
        <v>56</v>
      </c>
      <c r="S26" s="1">
        <v>47.803571429999998</v>
      </c>
      <c r="T26" s="1">
        <v>7.2138878960000001</v>
      </c>
      <c r="U26" s="1">
        <v>14</v>
      </c>
      <c r="V26" s="1">
        <v>1.9279926380000001</v>
      </c>
      <c r="W26" s="1">
        <v>12.21428571</v>
      </c>
      <c r="X26" s="1">
        <v>1.1883130529999999</v>
      </c>
      <c r="Y26" s="1">
        <v>14</v>
      </c>
      <c r="Z26" s="1">
        <v>0.31759002200000003</v>
      </c>
      <c r="AA26" s="1">
        <v>2.5</v>
      </c>
      <c r="AB26" s="1">
        <v>0.51887452199999995</v>
      </c>
      <c r="AC26" s="1">
        <v>14</v>
      </c>
      <c r="AD26" s="1">
        <v>0.13867504899999999</v>
      </c>
      <c r="AE26" s="1">
        <v>1.8571428569999999</v>
      </c>
      <c r="AF26" s="1">
        <v>0.36313652000000002</v>
      </c>
      <c r="AG26" s="1">
        <v>14</v>
      </c>
      <c r="AH26" s="1">
        <v>9.7052316999999999E-2</v>
      </c>
      <c r="AI26" s="1">
        <v>4.3571428570000004</v>
      </c>
      <c r="AJ26" s="1">
        <v>0.63332369399999999</v>
      </c>
      <c r="AK26" s="1">
        <v>14</v>
      </c>
      <c r="AL26" s="1">
        <v>0.16926287700000001</v>
      </c>
      <c r="AM26" s="1">
        <v>75.61538462</v>
      </c>
      <c r="AN26" s="1">
        <v>3.0076824709999999</v>
      </c>
      <c r="AO26" s="1">
        <v>14</v>
      </c>
      <c r="AP26" s="1">
        <v>0.58985506200000004</v>
      </c>
      <c r="AQ26" s="1">
        <v>82.61538462</v>
      </c>
      <c r="AR26" s="1">
        <v>4.5613763110000001</v>
      </c>
      <c r="AS26" s="1">
        <v>14</v>
      </c>
      <c r="AT26" s="1">
        <v>0.89455949300000004</v>
      </c>
      <c r="AU26" s="1">
        <v>1.307692308</v>
      </c>
      <c r="AV26" s="1">
        <v>0.47067872399999999</v>
      </c>
      <c r="AW26" s="1">
        <v>26</v>
      </c>
      <c r="AX26" s="1">
        <v>9.2307691999999997E-2</v>
      </c>
      <c r="AY26" s="1">
        <v>1.230769231</v>
      </c>
      <c r="AZ26" s="1">
        <v>0.42966892400000001</v>
      </c>
      <c r="BA26" s="1">
        <v>26</v>
      </c>
      <c r="BB26" s="1">
        <v>8.4265009000000002E-2</v>
      </c>
    </row>
    <row r="27" spans="1:54" ht="15.75" customHeight="1" x14ac:dyDescent="0.2">
      <c r="A27" s="1" t="s">
        <v>77</v>
      </c>
      <c r="B27" s="1" t="s">
        <v>81</v>
      </c>
      <c r="C27" s="1">
        <v>8.3952478710000005</v>
      </c>
      <c r="D27" s="1">
        <v>1.2023989049999999</v>
      </c>
      <c r="E27" s="1">
        <v>28</v>
      </c>
      <c r="F27" s="1">
        <v>0.227232034</v>
      </c>
      <c r="G27" s="1">
        <v>-66.360235680000002</v>
      </c>
      <c r="H27" s="1">
        <v>23.826737250000001</v>
      </c>
      <c r="I27" s="1">
        <v>28</v>
      </c>
      <c r="J27" s="1">
        <v>4.5028300940000001</v>
      </c>
      <c r="K27" s="1" t="s">
        <v>56</v>
      </c>
      <c r="L27" s="1" t="s">
        <v>56</v>
      </c>
      <c r="M27" s="1">
        <v>0</v>
      </c>
      <c r="N27" s="1" t="s">
        <v>56</v>
      </c>
      <c r="O27" s="1" t="s">
        <v>56</v>
      </c>
      <c r="P27" s="1" t="s">
        <v>56</v>
      </c>
      <c r="Q27" s="1">
        <v>0</v>
      </c>
      <c r="R27" s="1" t="s">
        <v>56</v>
      </c>
      <c r="S27" s="1">
        <v>63.266666669999999</v>
      </c>
      <c r="T27" s="1">
        <v>13.18260036</v>
      </c>
      <c r="U27" s="1">
        <v>15</v>
      </c>
      <c r="V27" s="1">
        <v>3.4037327780000002</v>
      </c>
      <c r="W27" s="1">
        <v>12.06666667</v>
      </c>
      <c r="X27" s="1">
        <v>1.4375905769999999</v>
      </c>
      <c r="Y27" s="1">
        <v>15</v>
      </c>
      <c r="Z27" s="1">
        <v>0.371184291</v>
      </c>
      <c r="AA27" s="1">
        <v>1.6</v>
      </c>
      <c r="AB27" s="1">
        <v>0.82807867099999999</v>
      </c>
      <c r="AC27" s="1">
        <v>15</v>
      </c>
      <c r="AD27" s="1">
        <v>0.213808994</v>
      </c>
      <c r="AE27" s="1">
        <v>0.86666666699999995</v>
      </c>
      <c r="AF27" s="1">
        <v>0.51639777899999995</v>
      </c>
      <c r="AG27" s="1">
        <v>15</v>
      </c>
      <c r="AH27" s="1">
        <v>0.133333333</v>
      </c>
      <c r="AI27" s="1">
        <v>2.4666666670000001</v>
      </c>
      <c r="AJ27" s="1">
        <v>1.187233679</v>
      </c>
      <c r="AK27" s="1">
        <v>15</v>
      </c>
      <c r="AL27" s="1">
        <v>0.30654241799999998</v>
      </c>
      <c r="AM27" s="1">
        <v>74.75</v>
      </c>
      <c r="AN27" s="1">
        <v>6.6923117860000003</v>
      </c>
      <c r="AO27" s="1">
        <v>15</v>
      </c>
      <c r="AP27" s="1">
        <v>1.2647280489999999</v>
      </c>
      <c r="AQ27" s="1">
        <v>82</v>
      </c>
      <c r="AR27" s="1">
        <v>5.6240225490000002</v>
      </c>
      <c r="AS27" s="1">
        <v>15</v>
      </c>
      <c r="AT27" s="1">
        <v>1.062840359</v>
      </c>
      <c r="AU27" s="1">
        <v>1.4814814810000001</v>
      </c>
      <c r="AV27" s="1">
        <v>0.57981232800000004</v>
      </c>
      <c r="AW27" s="1">
        <v>27</v>
      </c>
      <c r="AX27" s="1">
        <v>0.111584935</v>
      </c>
      <c r="AY27" s="1">
        <v>1.3703703700000001</v>
      </c>
      <c r="AZ27" s="1">
        <v>0.49210287800000002</v>
      </c>
      <c r="BA27" s="1">
        <v>27</v>
      </c>
      <c r="BB27" s="1">
        <v>9.4705242999999995E-2</v>
      </c>
    </row>
    <row r="28" spans="1:54" ht="15.75" customHeight="1" x14ac:dyDescent="0.2"/>
    <row r="29" spans="1:54" ht="15.75" customHeight="1" x14ac:dyDescent="0.2"/>
    <row r="30" spans="1:54" ht="15.75" customHeight="1" x14ac:dyDescent="0.2"/>
    <row r="31" spans="1:54" ht="15.75" customHeight="1" x14ac:dyDescent="0.2"/>
    <row r="32" spans="1:54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spans="24:31" ht="15.75" customHeight="1" x14ac:dyDescent="0.2"/>
    <row r="50" spans="24:31" ht="15.75" customHeight="1" x14ac:dyDescent="0.2"/>
    <row r="51" spans="24:31" ht="15.75" customHeight="1" x14ac:dyDescent="0.2"/>
    <row r="52" spans="24:31" ht="15.75" customHeight="1" x14ac:dyDescent="0.2"/>
    <row r="53" spans="24:31" ht="15.75" customHeight="1" x14ac:dyDescent="0.2"/>
    <row r="54" spans="24:31" ht="15.75" customHeight="1" x14ac:dyDescent="0.2"/>
    <row r="55" spans="24:31" ht="15.75" customHeight="1" x14ac:dyDescent="0.2"/>
    <row r="56" spans="24:31" ht="15.75" customHeight="1" x14ac:dyDescent="0.2"/>
    <row r="57" spans="24:31" ht="15.75" customHeight="1" x14ac:dyDescent="0.2"/>
    <row r="58" spans="24:31" ht="15.75" customHeight="1" x14ac:dyDescent="0.2"/>
    <row r="59" spans="24:31" ht="15.75" customHeight="1" x14ac:dyDescent="0.2"/>
    <row r="60" spans="24:31" ht="15.75" customHeight="1" x14ac:dyDescent="0.2"/>
    <row r="61" spans="24:31" ht="15.75" customHeight="1" x14ac:dyDescent="0.2"/>
    <row r="62" spans="24:31" ht="15.75" customHeight="1" x14ac:dyDescent="0.2">
      <c r="AB62" s="1" t="s">
        <v>82</v>
      </c>
      <c r="AC62" s="1" t="s">
        <v>83</v>
      </c>
      <c r="AD62" s="1" t="s">
        <v>84</v>
      </c>
      <c r="AE62" s="1" t="s">
        <v>85</v>
      </c>
    </row>
    <row r="63" spans="24:31" ht="15.75" customHeight="1" x14ac:dyDescent="0.2">
      <c r="X63" s="1">
        <v>111.375</v>
      </c>
      <c r="Y63" s="1">
        <v>4.4194173819999998</v>
      </c>
      <c r="Z63" s="1">
        <v>2</v>
      </c>
      <c r="AA63" s="1">
        <v>3.125</v>
      </c>
      <c r="AB63" s="1">
        <f t="shared" ref="AB63:AC63" si="0">X63*2.54</f>
        <v>282.89249999999998</v>
      </c>
      <c r="AC63" s="1">
        <f t="shared" si="0"/>
        <v>11.22532015028</v>
      </c>
      <c r="AD63" s="1">
        <v>2</v>
      </c>
      <c r="AE63" s="1">
        <f>AA63*2.54</f>
        <v>7.9375</v>
      </c>
    </row>
    <row r="64" spans="24:31" ht="15.75" customHeight="1" x14ac:dyDescent="0.2">
      <c r="X64" s="1">
        <v>104</v>
      </c>
      <c r="Y64" s="1" t="s">
        <v>56</v>
      </c>
      <c r="Z64" s="1">
        <v>1</v>
      </c>
      <c r="AA64" s="1" t="s">
        <v>56</v>
      </c>
      <c r="AB64" s="1">
        <f t="shared" ref="AB64:AB76" si="1">X64*2.54</f>
        <v>264.16000000000003</v>
      </c>
      <c r="AC64" s="1" t="s">
        <v>56</v>
      </c>
      <c r="AD64" s="1">
        <v>1</v>
      </c>
      <c r="AE64" s="1" t="s">
        <v>56</v>
      </c>
    </row>
    <row r="65" spans="24:31" ht="15.75" customHeight="1" x14ac:dyDescent="0.2">
      <c r="X65" s="1">
        <v>95.238666670000001</v>
      </c>
      <c r="Y65" s="1">
        <v>14.323399869999999</v>
      </c>
      <c r="Z65" s="1">
        <v>15</v>
      </c>
      <c r="AA65" s="1">
        <v>3.6982859440000002</v>
      </c>
      <c r="AB65" s="1">
        <f t="shared" si="1"/>
        <v>241.9062133418</v>
      </c>
      <c r="AC65" s="1">
        <f t="shared" ref="AC65:AC76" si="2">Y65*2.54</f>
        <v>36.381435669799998</v>
      </c>
      <c r="AD65" s="1">
        <v>15</v>
      </c>
      <c r="AE65" s="1">
        <f t="shared" ref="AE65:AE76" si="3">AA65*2.54</f>
        <v>9.3936462977600002</v>
      </c>
    </row>
    <row r="66" spans="24:31" ht="15.75" customHeight="1" x14ac:dyDescent="0.2">
      <c r="X66" s="1">
        <v>143.14266670000001</v>
      </c>
      <c r="Y66" s="1">
        <v>10.417988879999999</v>
      </c>
      <c r="Z66" s="1">
        <v>15</v>
      </c>
      <c r="AA66" s="1">
        <v>2.6899131629999999</v>
      </c>
      <c r="AB66" s="1">
        <f t="shared" si="1"/>
        <v>363.58237341800003</v>
      </c>
      <c r="AC66" s="1">
        <f t="shared" si="2"/>
        <v>26.4616917552</v>
      </c>
      <c r="AD66" s="1">
        <v>15</v>
      </c>
      <c r="AE66" s="1">
        <f t="shared" si="3"/>
        <v>6.8323794340199999</v>
      </c>
    </row>
    <row r="67" spans="24:31" ht="15.75" customHeight="1" x14ac:dyDescent="0.2">
      <c r="X67" s="1">
        <v>122.0714286</v>
      </c>
      <c r="Y67" s="1">
        <v>16.895444470000001</v>
      </c>
      <c r="Z67" s="1">
        <v>14</v>
      </c>
      <c r="AA67" s="1">
        <v>4.5154974729999999</v>
      </c>
      <c r="AB67" s="1">
        <f t="shared" si="1"/>
        <v>310.06142864399999</v>
      </c>
      <c r="AC67" s="1">
        <f t="shared" si="2"/>
        <v>42.914428953800005</v>
      </c>
      <c r="AD67" s="1">
        <v>14</v>
      </c>
      <c r="AE67" s="1">
        <f t="shared" si="3"/>
        <v>11.46936358142</v>
      </c>
    </row>
    <row r="68" spans="24:31" ht="15.75" customHeight="1" x14ac:dyDescent="0.2">
      <c r="X68" s="1">
        <v>134.7142857</v>
      </c>
      <c r="Y68" s="1">
        <v>13.22979488</v>
      </c>
      <c r="Z68" s="1">
        <v>14</v>
      </c>
      <c r="AA68" s="1">
        <v>3.5358114089999999</v>
      </c>
      <c r="AB68" s="1">
        <f t="shared" si="1"/>
        <v>342.17428567799999</v>
      </c>
      <c r="AC68" s="1">
        <f t="shared" si="2"/>
        <v>33.603678995199999</v>
      </c>
      <c r="AD68" s="1">
        <v>14</v>
      </c>
      <c r="AE68" s="1">
        <f t="shared" si="3"/>
        <v>8.9809609788600007</v>
      </c>
    </row>
    <row r="69" spans="24:31" ht="15.75" customHeight="1" x14ac:dyDescent="0.2">
      <c r="X69" s="1">
        <v>139.7123077</v>
      </c>
      <c r="Y69" s="1">
        <v>12.91040546</v>
      </c>
      <c r="Z69" s="1">
        <v>13</v>
      </c>
      <c r="AA69" s="1">
        <v>3.5807022220000002</v>
      </c>
      <c r="AB69" s="1">
        <f t="shared" si="1"/>
        <v>354.86926155800001</v>
      </c>
      <c r="AC69" s="1">
        <f t="shared" si="2"/>
        <v>32.792429868399999</v>
      </c>
      <c r="AD69" s="1">
        <v>13</v>
      </c>
      <c r="AE69" s="1">
        <f t="shared" si="3"/>
        <v>9.0949836438800009</v>
      </c>
    </row>
    <row r="70" spans="24:31" ht="15.75" customHeight="1" x14ac:dyDescent="0.2">
      <c r="X70" s="1">
        <v>145.1333333</v>
      </c>
      <c r="Y70" s="1">
        <v>11.572314049999999</v>
      </c>
      <c r="Z70" s="1">
        <v>15</v>
      </c>
      <c r="AA70" s="1">
        <v>2.9879586389999999</v>
      </c>
      <c r="AB70" s="1">
        <f t="shared" si="1"/>
        <v>368.63866658200004</v>
      </c>
      <c r="AC70" s="1">
        <f t="shared" si="2"/>
        <v>29.393677686999997</v>
      </c>
      <c r="AD70" s="1">
        <v>15</v>
      </c>
      <c r="AE70" s="1">
        <f t="shared" si="3"/>
        <v>7.5894149430599995</v>
      </c>
    </row>
    <row r="71" spans="24:31" ht="15.75" customHeight="1" x14ac:dyDescent="0.2">
      <c r="X71" s="1">
        <v>129.7647059</v>
      </c>
      <c r="Y71" s="1">
        <v>12.12966102</v>
      </c>
      <c r="Z71" s="1">
        <v>17</v>
      </c>
      <c r="AA71" s="1">
        <v>2.9418749169999998</v>
      </c>
      <c r="AB71" s="1">
        <f t="shared" si="1"/>
        <v>329.60235298599997</v>
      </c>
      <c r="AC71" s="1">
        <f t="shared" si="2"/>
        <v>30.809338990800001</v>
      </c>
      <c r="AD71" s="1">
        <v>17</v>
      </c>
      <c r="AE71" s="1">
        <f t="shared" si="3"/>
        <v>7.4723622891799995</v>
      </c>
    </row>
    <row r="72" spans="24:31" ht="15.75" customHeight="1" x14ac:dyDescent="0.2">
      <c r="X72" s="1">
        <v>138.125</v>
      </c>
      <c r="Y72" s="1">
        <v>7.2478445069999999</v>
      </c>
      <c r="Z72" s="1">
        <v>2</v>
      </c>
      <c r="AA72" s="1">
        <v>5.125</v>
      </c>
      <c r="AB72" s="1">
        <f t="shared" si="1"/>
        <v>350.83749999999998</v>
      </c>
      <c r="AC72" s="1">
        <f t="shared" si="2"/>
        <v>18.409525047780001</v>
      </c>
      <c r="AD72" s="1">
        <v>2</v>
      </c>
      <c r="AE72" s="1">
        <f t="shared" si="3"/>
        <v>13.0175</v>
      </c>
    </row>
    <row r="73" spans="24:31" ht="15.75" customHeight="1" x14ac:dyDescent="0.2">
      <c r="X73" s="1">
        <v>96.053571430000005</v>
      </c>
      <c r="Y73" s="1">
        <v>18.688277530000001</v>
      </c>
      <c r="Z73" s="1">
        <v>14</v>
      </c>
      <c r="AA73" s="1">
        <v>4.9946522619999998</v>
      </c>
      <c r="AB73" s="1">
        <f t="shared" si="1"/>
        <v>243.97607143220003</v>
      </c>
      <c r="AC73" s="1">
        <f t="shared" si="2"/>
        <v>47.468224926200001</v>
      </c>
      <c r="AD73" s="1">
        <v>14</v>
      </c>
      <c r="AE73" s="1">
        <f t="shared" si="3"/>
        <v>12.686416745479999</v>
      </c>
    </row>
    <row r="74" spans="24:31" ht="15.75" customHeight="1" x14ac:dyDescent="0.2">
      <c r="X74" s="1">
        <v>109.75</v>
      </c>
      <c r="Y74" s="1">
        <v>17.146428199999999</v>
      </c>
      <c r="Z74" s="1">
        <v>13</v>
      </c>
      <c r="AA74" s="1">
        <v>4.7555635430000001</v>
      </c>
      <c r="AB74" s="1">
        <f t="shared" si="1"/>
        <v>278.76499999999999</v>
      </c>
      <c r="AC74" s="1">
        <f t="shared" si="2"/>
        <v>43.551927628000001</v>
      </c>
      <c r="AD74" s="1">
        <v>13</v>
      </c>
      <c r="AE74" s="1">
        <f t="shared" si="3"/>
        <v>12.07913139922</v>
      </c>
    </row>
    <row r="75" spans="24:31" ht="15.75" customHeight="1" x14ac:dyDescent="0.2">
      <c r="X75" s="1">
        <v>137.4</v>
      </c>
      <c r="Y75" s="1">
        <v>18.434267609999999</v>
      </c>
      <c r="Z75" s="1">
        <v>10</v>
      </c>
      <c r="AA75" s="1">
        <v>5.8294272640000004</v>
      </c>
      <c r="AB75" s="1">
        <f t="shared" si="1"/>
        <v>348.99600000000004</v>
      </c>
      <c r="AC75" s="1">
        <f t="shared" si="2"/>
        <v>46.823039729400001</v>
      </c>
      <c r="AD75" s="1">
        <v>10</v>
      </c>
      <c r="AE75" s="1">
        <f t="shared" si="3"/>
        <v>14.806745250560001</v>
      </c>
    </row>
    <row r="76" spans="24:31" ht="15.75" customHeight="1" x14ac:dyDescent="0.2">
      <c r="X76" s="1">
        <v>119.0666667</v>
      </c>
      <c r="Y76" s="1">
        <v>7.8253632199999998</v>
      </c>
      <c r="Z76" s="1">
        <v>15</v>
      </c>
      <c r="AA76" s="1">
        <v>2.0205000950000001</v>
      </c>
      <c r="AB76" s="1">
        <f t="shared" si="1"/>
        <v>302.429333418</v>
      </c>
      <c r="AC76" s="1">
        <f t="shared" si="2"/>
        <v>19.8764225788</v>
      </c>
      <c r="AD76" s="1">
        <v>15</v>
      </c>
      <c r="AE76" s="1">
        <f t="shared" si="3"/>
        <v>5.1320702413000001</v>
      </c>
    </row>
    <row r="77" spans="24:31" ht="15.75" customHeight="1" x14ac:dyDescent="0.2"/>
    <row r="78" spans="24:31" ht="15.75" customHeight="1" x14ac:dyDescent="0.2">
      <c r="X78" s="1">
        <v>119.95</v>
      </c>
      <c r="Y78" s="1">
        <v>17.210410060000001</v>
      </c>
      <c r="Z78" s="1">
        <v>15</v>
      </c>
      <c r="AA78" s="1">
        <v>4.4437087679999996</v>
      </c>
      <c r="AB78" s="1">
        <f t="shared" ref="AB78:AC78" si="4">X78*2.54</f>
        <v>304.673</v>
      </c>
      <c r="AC78" s="1">
        <f t="shared" si="4"/>
        <v>43.714441552400004</v>
      </c>
      <c r="AD78" s="1">
        <v>15</v>
      </c>
      <c r="AE78" s="1">
        <f t="shared" ref="AE78:AE79" si="5">AA78*2.54</f>
        <v>11.287020270719999</v>
      </c>
    </row>
    <row r="79" spans="24:31" ht="15.75" customHeight="1" x14ac:dyDescent="0.2">
      <c r="X79" s="1">
        <v>69.458333330000002</v>
      </c>
      <c r="Y79" s="1">
        <v>8.4976712499999998</v>
      </c>
      <c r="Z79" s="1">
        <v>6</v>
      </c>
      <c r="AA79" s="1">
        <v>3.4691597609999998</v>
      </c>
      <c r="AB79" s="1">
        <f t="shared" ref="AB79:AC79" si="6">X79*2.54</f>
        <v>176.42416665819999</v>
      </c>
      <c r="AC79" s="1">
        <f t="shared" si="6"/>
        <v>21.584084975</v>
      </c>
      <c r="AD79" s="1">
        <v>6</v>
      </c>
      <c r="AE79" s="1">
        <f t="shared" si="5"/>
        <v>8.8116657929399995</v>
      </c>
    </row>
    <row r="80" spans="24:31" ht="15.75" customHeight="1" x14ac:dyDescent="0.2"/>
    <row r="81" spans="24:31" ht="15.75" customHeight="1" x14ac:dyDescent="0.2">
      <c r="X81" s="1">
        <v>119.3235294</v>
      </c>
      <c r="Y81" s="1">
        <v>13.31492487</v>
      </c>
      <c r="Z81" s="1">
        <v>17</v>
      </c>
      <c r="AA81" s="1">
        <v>3.2293436249999998</v>
      </c>
      <c r="AB81" s="1">
        <f t="shared" ref="AB81:AC81" si="7">X81*2.54</f>
        <v>303.08176467599998</v>
      </c>
      <c r="AC81" s="1">
        <f t="shared" si="7"/>
        <v>33.819909169799999</v>
      </c>
      <c r="AD81" s="1">
        <v>17</v>
      </c>
      <c r="AE81" s="1">
        <f t="shared" ref="AE81:AE83" si="8">AA81*2.54</f>
        <v>8.202532807499999</v>
      </c>
    </row>
    <row r="82" spans="24:31" ht="15.75" customHeight="1" x14ac:dyDescent="0.2">
      <c r="X82" s="1">
        <v>56.864285709999997</v>
      </c>
      <c r="Y82" s="1">
        <v>9.0417879079999999</v>
      </c>
      <c r="Z82" s="1">
        <v>7</v>
      </c>
      <c r="AA82" s="1">
        <v>3.417474602</v>
      </c>
      <c r="AB82" s="1">
        <f t="shared" ref="AB82:AC82" si="9">X82*2.54</f>
        <v>144.43528570339998</v>
      </c>
      <c r="AC82" s="1">
        <f t="shared" si="9"/>
        <v>22.966141286319999</v>
      </c>
      <c r="AD82" s="1">
        <v>7</v>
      </c>
      <c r="AE82" s="1">
        <f t="shared" si="8"/>
        <v>8.6803854890800007</v>
      </c>
    </row>
    <row r="83" spans="24:31" ht="15.75" customHeight="1" x14ac:dyDescent="0.2">
      <c r="X83" s="1">
        <v>70.252083330000005</v>
      </c>
      <c r="Y83" s="1">
        <v>15.37651003</v>
      </c>
      <c r="Z83" s="1">
        <v>24</v>
      </c>
      <c r="AA83" s="1">
        <v>3.1387169660000001</v>
      </c>
      <c r="AB83" s="1">
        <f t="shared" ref="AB83:AC83" si="10">X83*2.54</f>
        <v>178.44029165820001</v>
      </c>
      <c r="AC83" s="1">
        <f t="shared" si="10"/>
        <v>39.056335476200005</v>
      </c>
      <c r="AD83" s="1">
        <v>24</v>
      </c>
      <c r="AE83" s="1">
        <f t="shared" si="8"/>
        <v>7.9723410936399999</v>
      </c>
    </row>
    <row r="84" spans="24:31" ht="15.75" customHeight="1" x14ac:dyDescent="0.2"/>
    <row r="85" spans="24:31" ht="15.75" customHeight="1" x14ac:dyDescent="0.2">
      <c r="X85" s="1">
        <v>52.803571429999998</v>
      </c>
      <c r="Y85" s="1">
        <v>6.2320346190000002</v>
      </c>
      <c r="Z85" s="1">
        <v>14</v>
      </c>
      <c r="AA85" s="1">
        <v>1.665581312</v>
      </c>
      <c r="AB85" s="1">
        <f t="shared" ref="AB85:AC85" si="11">X85*2.54</f>
        <v>134.12107143219998</v>
      </c>
      <c r="AC85" s="1">
        <f t="shared" si="11"/>
        <v>15.82936793226</v>
      </c>
      <c r="AD85" s="1">
        <v>14</v>
      </c>
      <c r="AE85" s="1">
        <f t="shared" ref="AE85:AE87" si="12">AA85*2.54</f>
        <v>4.2305765324799998</v>
      </c>
    </row>
    <row r="86" spans="24:31" ht="15.75" customHeight="1" x14ac:dyDescent="0.2">
      <c r="X86" s="1">
        <v>47.803571429999998</v>
      </c>
      <c r="Y86" s="1">
        <v>7.2138878960000001</v>
      </c>
      <c r="Z86" s="1">
        <v>14</v>
      </c>
      <c r="AA86" s="1">
        <v>1.9279926380000001</v>
      </c>
      <c r="AB86" s="1">
        <f t="shared" ref="AB86:AC86" si="13">X86*2.54</f>
        <v>121.42107143219999</v>
      </c>
      <c r="AC86" s="1">
        <f t="shared" si="13"/>
        <v>18.323275255840002</v>
      </c>
      <c r="AD86" s="1">
        <v>14</v>
      </c>
      <c r="AE86" s="1">
        <f t="shared" si="12"/>
        <v>4.8971013005200001</v>
      </c>
    </row>
    <row r="87" spans="24:31" ht="15.75" customHeight="1" x14ac:dyDescent="0.2">
      <c r="X87" s="1">
        <v>63.266666669999999</v>
      </c>
      <c r="Y87" s="1">
        <v>13.18260036</v>
      </c>
      <c r="Z87" s="1">
        <v>15</v>
      </c>
      <c r="AA87" s="1">
        <v>3.4037327780000002</v>
      </c>
      <c r="AB87" s="1">
        <f t="shared" ref="AB87:AC87" si="14">X87*2.54</f>
        <v>160.6973333418</v>
      </c>
      <c r="AC87" s="1">
        <f t="shared" si="14"/>
        <v>33.483804914400004</v>
      </c>
      <c r="AD87" s="1">
        <v>15</v>
      </c>
      <c r="AE87" s="1">
        <f t="shared" si="12"/>
        <v>8.6454812561200001</v>
      </c>
    </row>
    <row r="88" spans="24:31" ht="15.75" customHeight="1" x14ac:dyDescent="0.2"/>
    <row r="89" spans="24:31" ht="15.75" customHeight="1" x14ac:dyDescent="0.2">
      <c r="X89" s="1">
        <v>62.48808511</v>
      </c>
      <c r="Y89" s="1">
        <v>7.5014880640000001</v>
      </c>
      <c r="Z89" s="1">
        <v>94</v>
      </c>
      <c r="AA89" s="1">
        <v>0.77371941700000002</v>
      </c>
      <c r="AB89" s="1">
        <f t="shared" ref="AB89:AC89" si="15">X89*2.54</f>
        <v>158.7197361794</v>
      </c>
      <c r="AC89" s="1">
        <f t="shared" si="15"/>
        <v>19.053779682560002</v>
      </c>
      <c r="AD89" s="1">
        <v>94</v>
      </c>
      <c r="AE89" s="1">
        <f>AA89*2.54</f>
        <v>1.9652473191800002</v>
      </c>
    </row>
    <row r="90" spans="24:31" ht="15.75" customHeight="1" x14ac:dyDescent="0.2"/>
    <row r="91" spans="24:31" ht="15.75" customHeight="1" x14ac:dyDescent="0.2"/>
    <row r="92" spans="24:31" ht="15.75" customHeight="1" x14ac:dyDescent="0.2"/>
    <row r="93" spans="24:31" ht="15.75" customHeight="1" x14ac:dyDescent="0.2"/>
    <row r="94" spans="24:31" ht="15.75" customHeight="1" x14ac:dyDescent="0.2"/>
    <row r="95" spans="24:31" ht="15.75" customHeight="1" x14ac:dyDescent="0.2"/>
    <row r="96" spans="24:31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spans="1:66" ht="15.75" customHeight="1" x14ac:dyDescent="0.2"/>
    <row r="114" spans="1:66" ht="15.75" customHeight="1" x14ac:dyDescent="0.2"/>
    <row r="115" spans="1:66" ht="15.75" customHeight="1" x14ac:dyDescent="0.2"/>
    <row r="116" spans="1:66" ht="15.75" customHeight="1" x14ac:dyDescent="0.2">
      <c r="A116" s="1" t="s">
        <v>86</v>
      </c>
    </row>
    <row r="117" spans="1:66" ht="15.75" customHeight="1" x14ac:dyDescent="0.2">
      <c r="A117" s="1" t="s">
        <v>87</v>
      </c>
      <c r="B117" s="1" t="s">
        <v>88</v>
      </c>
    </row>
    <row r="118" spans="1:66" ht="15.75" customHeight="1" x14ac:dyDescent="0.2">
      <c r="A118" s="1" t="s">
        <v>89</v>
      </c>
      <c r="B118" s="1" t="s">
        <v>90</v>
      </c>
    </row>
    <row r="119" spans="1:66" ht="15.75" customHeight="1" x14ac:dyDescent="0.2">
      <c r="A119" s="1" t="s">
        <v>91</v>
      </c>
      <c r="B119" s="1" t="s">
        <v>92</v>
      </c>
    </row>
    <row r="120" spans="1:66" ht="15.75" customHeight="1" x14ac:dyDescent="0.2"/>
    <row r="121" spans="1:66" ht="15.75" customHeight="1" x14ac:dyDescent="0.2"/>
    <row r="122" spans="1:66" ht="15.75" customHeight="1" x14ac:dyDescent="0.2"/>
    <row r="123" spans="1:66" ht="15.75" customHeight="1" x14ac:dyDescent="0.2"/>
    <row r="124" spans="1:66" ht="15.75" customHeight="1" x14ac:dyDescent="0.2"/>
    <row r="125" spans="1:66" ht="15.75" customHeight="1" x14ac:dyDescent="0.2">
      <c r="A125" s="1" t="s">
        <v>0</v>
      </c>
      <c r="B125" s="1" t="s">
        <v>1</v>
      </c>
      <c r="C125" s="1" t="s">
        <v>2</v>
      </c>
      <c r="D125" s="1" t="s">
        <v>3</v>
      </c>
      <c r="E125" s="1" t="s">
        <v>4</v>
      </c>
      <c r="F125" s="1" t="s">
        <v>5</v>
      </c>
      <c r="G125" s="1" t="s">
        <v>93</v>
      </c>
      <c r="H125" s="1" t="s">
        <v>94</v>
      </c>
      <c r="I125" s="1" t="s">
        <v>95</v>
      </c>
      <c r="J125" s="1" t="s">
        <v>96</v>
      </c>
      <c r="K125" s="1" t="s">
        <v>97</v>
      </c>
      <c r="L125" s="1" t="s">
        <v>98</v>
      </c>
      <c r="M125" s="1" t="s">
        <v>99</v>
      </c>
      <c r="N125" s="1" t="s">
        <v>100</v>
      </c>
      <c r="O125" s="1" t="s">
        <v>10</v>
      </c>
      <c r="P125" s="1" t="s">
        <v>11</v>
      </c>
      <c r="Q125" s="1" t="s">
        <v>12</v>
      </c>
      <c r="R125" s="1" t="s">
        <v>13</v>
      </c>
      <c r="S125" s="1" t="s">
        <v>101</v>
      </c>
      <c r="T125" s="1" t="s">
        <v>102</v>
      </c>
      <c r="U125" s="1" t="s">
        <v>103</v>
      </c>
      <c r="V125" s="1" t="s">
        <v>104</v>
      </c>
      <c r="W125" s="1" t="s">
        <v>105</v>
      </c>
      <c r="X125" s="1" t="s">
        <v>106</v>
      </c>
      <c r="Y125" s="1" t="s">
        <v>107</v>
      </c>
      <c r="Z125" s="1" t="s">
        <v>108</v>
      </c>
      <c r="AA125" s="1" t="s">
        <v>18</v>
      </c>
      <c r="AB125" s="1" t="s">
        <v>19</v>
      </c>
      <c r="AC125" s="1" t="s">
        <v>20</v>
      </c>
      <c r="AD125" s="1" t="s">
        <v>21</v>
      </c>
      <c r="AE125" s="1" t="s">
        <v>22</v>
      </c>
      <c r="AF125" s="1" t="s">
        <v>23</v>
      </c>
      <c r="AG125" s="1" t="s">
        <v>24</v>
      </c>
      <c r="AH125" s="1" t="s">
        <v>25</v>
      </c>
      <c r="AI125" s="1" t="s">
        <v>26</v>
      </c>
      <c r="AJ125" s="1" t="s">
        <v>27</v>
      </c>
      <c r="AK125" s="1" t="s">
        <v>28</v>
      </c>
      <c r="AL125" s="1" t="s">
        <v>29</v>
      </c>
      <c r="AM125" s="1" t="s">
        <v>30</v>
      </c>
      <c r="AN125" s="1" t="s">
        <v>31</v>
      </c>
      <c r="AO125" s="1" t="s">
        <v>32</v>
      </c>
      <c r="AP125" s="1" t="s">
        <v>33</v>
      </c>
      <c r="AQ125" s="1" t="s">
        <v>34</v>
      </c>
      <c r="AR125" s="1" t="s">
        <v>35</v>
      </c>
      <c r="AS125" s="1" t="s">
        <v>36</v>
      </c>
      <c r="AT125" s="1" t="s">
        <v>37</v>
      </c>
      <c r="AU125" s="1" t="s">
        <v>38</v>
      </c>
      <c r="AV125" s="1" t="s">
        <v>39</v>
      </c>
      <c r="AW125" s="1" t="s">
        <v>40</v>
      </c>
      <c r="AX125" s="1" t="s">
        <v>41</v>
      </c>
      <c r="AY125" s="1" t="s">
        <v>42</v>
      </c>
      <c r="AZ125" s="1" t="s">
        <v>43</v>
      </c>
      <c r="BA125" s="1" t="s">
        <v>44</v>
      </c>
      <c r="BB125" s="1" t="s">
        <v>45</v>
      </c>
      <c r="BC125" s="1" t="s">
        <v>46</v>
      </c>
      <c r="BD125" s="1" t="s">
        <v>47</v>
      </c>
      <c r="BE125" s="1" t="s">
        <v>48</v>
      </c>
      <c r="BF125" s="1" t="s">
        <v>49</v>
      </c>
      <c r="BG125" s="1" t="s">
        <v>50</v>
      </c>
      <c r="BH125" s="1" t="s">
        <v>51</v>
      </c>
      <c r="BI125" s="1" t="s">
        <v>52</v>
      </c>
      <c r="BJ125" s="1" t="s">
        <v>53</v>
      </c>
      <c r="BK125" s="1" t="s">
        <v>82</v>
      </c>
      <c r="BL125" s="1" t="s">
        <v>83</v>
      </c>
      <c r="BM125" s="1" t="s">
        <v>84</v>
      </c>
      <c r="BN125" s="1" t="s">
        <v>85</v>
      </c>
    </row>
    <row r="126" spans="1:66" ht="15.75" customHeight="1" x14ac:dyDescent="0.2">
      <c r="A126" s="1" t="s">
        <v>54</v>
      </c>
      <c r="B126" s="1" t="s">
        <v>55</v>
      </c>
      <c r="C126" s="1">
        <v>-0.80979556699999999</v>
      </c>
      <c r="D126" s="1">
        <v>0.54875557500000005</v>
      </c>
      <c r="E126" s="1">
        <v>3</v>
      </c>
      <c r="F126" s="1">
        <v>0.31682417899999998</v>
      </c>
      <c r="G126" s="1">
        <v>116.0469093</v>
      </c>
      <c r="H126" s="1">
        <v>10.874140730000001</v>
      </c>
      <c r="I126" s="1">
        <v>3</v>
      </c>
      <c r="J126" s="1">
        <v>6.2781880790000004</v>
      </c>
      <c r="K126" s="1">
        <v>112.09774535976328</v>
      </c>
      <c r="L126" s="1">
        <v>8.1980014260361216</v>
      </c>
      <c r="M126" s="1">
        <v>3</v>
      </c>
      <c r="N126" s="1">
        <v>4.7331183301388906</v>
      </c>
      <c r="O126" s="1">
        <v>1.5941249529999999</v>
      </c>
      <c r="P126" s="1">
        <v>1.1533715879999999</v>
      </c>
      <c r="Q126" s="1">
        <v>3</v>
      </c>
      <c r="R126" s="1">
        <v>0.665899397</v>
      </c>
      <c r="S126" s="1">
        <v>68.410819189999998</v>
      </c>
      <c r="T126" s="1">
        <v>22.855211910000001</v>
      </c>
      <c r="U126" s="1">
        <v>3</v>
      </c>
      <c r="V126" s="1">
        <v>13.195462750000001</v>
      </c>
      <c r="W126" s="1">
        <v>76.184955139711491</v>
      </c>
      <c r="X126" s="1">
        <v>17.230516364321289</v>
      </c>
      <c r="Y126" s="1">
        <v>3</v>
      </c>
      <c r="Z126" s="1">
        <v>9.9480432612171494</v>
      </c>
      <c r="AA126" s="1">
        <v>111.375</v>
      </c>
      <c r="AB126" s="1">
        <v>4.4194173819999998</v>
      </c>
      <c r="AC126" s="1">
        <v>2</v>
      </c>
      <c r="AD126" s="1">
        <v>3.125</v>
      </c>
      <c r="AE126" s="1">
        <v>17</v>
      </c>
      <c r="AF126" s="1">
        <v>1.414213562</v>
      </c>
      <c r="AG126" s="1">
        <v>2</v>
      </c>
      <c r="AH126" s="1">
        <v>1</v>
      </c>
      <c r="AI126" s="1">
        <v>4.5</v>
      </c>
      <c r="AJ126" s="1">
        <v>0.70710678100000002</v>
      </c>
      <c r="AK126" s="1">
        <v>2</v>
      </c>
      <c r="AL126" s="1">
        <v>0.5</v>
      </c>
      <c r="AM126" s="1">
        <v>3.5</v>
      </c>
      <c r="AN126" s="1">
        <v>0.70710678100000002</v>
      </c>
      <c r="AO126" s="1">
        <v>2</v>
      </c>
      <c r="AP126" s="1">
        <v>0.5</v>
      </c>
      <c r="AQ126" s="1">
        <v>8</v>
      </c>
      <c r="AR126" s="1">
        <v>1.414213562</v>
      </c>
      <c r="AS126" s="1">
        <v>2</v>
      </c>
      <c r="AT126" s="1">
        <v>1</v>
      </c>
      <c r="AU126" s="1">
        <v>95</v>
      </c>
      <c r="AV126" s="1">
        <v>0</v>
      </c>
      <c r="AW126" s="1">
        <v>2</v>
      </c>
      <c r="AX126" s="1">
        <v>0</v>
      </c>
      <c r="AY126" s="1">
        <v>102</v>
      </c>
      <c r="AZ126" s="1">
        <v>0</v>
      </c>
      <c r="BA126" s="1">
        <v>2</v>
      </c>
      <c r="BB126" s="1">
        <v>0</v>
      </c>
      <c r="BC126" s="1">
        <v>1.5</v>
      </c>
      <c r="BD126" s="1">
        <v>0.70710678100000002</v>
      </c>
      <c r="BE126" s="1">
        <v>2</v>
      </c>
      <c r="BF126" s="1">
        <v>0.5</v>
      </c>
      <c r="BG126" s="1">
        <v>2</v>
      </c>
      <c r="BH126" s="1" t="s">
        <v>56</v>
      </c>
      <c r="BI126" s="1">
        <v>1</v>
      </c>
      <c r="BJ126" s="1" t="s">
        <v>56</v>
      </c>
      <c r="BK126" s="1">
        <v>282.89249999999998</v>
      </c>
      <c r="BL126" s="1">
        <v>11.22532015028</v>
      </c>
      <c r="BM126" s="1">
        <v>2</v>
      </c>
      <c r="BN126" s="1">
        <v>7.9375</v>
      </c>
    </row>
    <row r="127" spans="1:66" ht="15.75" customHeight="1" x14ac:dyDescent="0.2">
      <c r="A127" s="1" t="s">
        <v>54</v>
      </c>
      <c r="B127" s="1" t="s">
        <v>57</v>
      </c>
      <c r="C127" s="1">
        <v>-0.40960823499999999</v>
      </c>
      <c r="D127" s="1" t="s">
        <v>56</v>
      </c>
      <c r="E127" s="1">
        <v>1</v>
      </c>
      <c r="F127" s="1" t="s">
        <v>56</v>
      </c>
      <c r="G127" s="1">
        <v>108.11679700000001</v>
      </c>
      <c r="H127" s="1" t="s">
        <v>56</v>
      </c>
      <c r="I127" s="1">
        <v>1</v>
      </c>
      <c r="J127" s="1" t="s">
        <v>56</v>
      </c>
      <c r="K127" s="1">
        <v>106.11924333386864</v>
      </c>
      <c r="L127" s="1" t="s">
        <v>56</v>
      </c>
      <c r="M127" s="1">
        <v>1</v>
      </c>
      <c r="N127" s="1" t="s">
        <v>56</v>
      </c>
      <c r="O127" s="1">
        <v>3.6370819089999999</v>
      </c>
      <c r="P127" s="1" t="s">
        <v>56</v>
      </c>
      <c r="Q127" s="1">
        <v>1</v>
      </c>
      <c r="R127" s="1" t="s">
        <v>56</v>
      </c>
      <c r="S127" s="1">
        <v>27.927583219999999</v>
      </c>
      <c r="T127" s="1" t="s">
        <v>56</v>
      </c>
      <c r="U127" s="1">
        <v>1</v>
      </c>
      <c r="V127" s="1" t="s">
        <v>56</v>
      </c>
      <c r="W127" s="1">
        <v>45.664692948582818</v>
      </c>
      <c r="X127" s="1" t="s">
        <v>56</v>
      </c>
      <c r="Y127" s="1">
        <v>1</v>
      </c>
      <c r="Z127" s="1" t="s">
        <v>56</v>
      </c>
      <c r="AA127" s="1">
        <v>104</v>
      </c>
      <c r="AB127" s="1" t="s">
        <v>56</v>
      </c>
      <c r="AC127" s="1">
        <v>1</v>
      </c>
      <c r="AD127" s="1" t="s">
        <v>56</v>
      </c>
      <c r="AE127" s="1">
        <v>19</v>
      </c>
      <c r="AF127" s="1" t="s">
        <v>56</v>
      </c>
      <c r="AG127" s="1">
        <v>1</v>
      </c>
      <c r="AH127" s="1" t="s">
        <v>56</v>
      </c>
      <c r="AI127" s="1">
        <v>5</v>
      </c>
      <c r="AJ127" s="1" t="s">
        <v>56</v>
      </c>
      <c r="AK127" s="1">
        <v>1</v>
      </c>
      <c r="AL127" s="1" t="s">
        <v>56</v>
      </c>
      <c r="AM127" s="1">
        <v>4</v>
      </c>
      <c r="AN127" s="1" t="s">
        <v>56</v>
      </c>
      <c r="AO127" s="1">
        <v>1</v>
      </c>
      <c r="AP127" s="1" t="s">
        <v>56</v>
      </c>
      <c r="AQ127" s="1">
        <v>9</v>
      </c>
      <c r="AR127" s="1" t="s">
        <v>56</v>
      </c>
      <c r="AS127" s="1">
        <v>1</v>
      </c>
      <c r="AT127" s="1" t="s">
        <v>56</v>
      </c>
      <c r="AU127" s="1">
        <v>95</v>
      </c>
      <c r="AV127" s="1" t="s">
        <v>56</v>
      </c>
      <c r="AW127" s="1">
        <v>1</v>
      </c>
      <c r="AX127" s="1" t="s">
        <v>56</v>
      </c>
      <c r="AY127" s="1">
        <v>102</v>
      </c>
      <c r="AZ127" s="1" t="s">
        <v>56</v>
      </c>
      <c r="BA127" s="1">
        <v>1</v>
      </c>
      <c r="BB127" s="1" t="s">
        <v>56</v>
      </c>
      <c r="BC127" s="1">
        <v>2</v>
      </c>
      <c r="BD127" s="1" t="s">
        <v>56</v>
      </c>
      <c r="BE127" s="1">
        <v>1</v>
      </c>
      <c r="BF127" s="1" t="s">
        <v>56</v>
      </c>
      <c r="BG127" s="1">
        <v>1</v>
      </c>
      <c r="BH127" s="1" t="s">
        <v>56</v>
      </c>
      <c r="BI127" s="1">
        <v>1</v>
      </c>
      <c r="BJ127" s="1" t="s">
        <v>56</v>
      </c>
      <c r="BK127" s="1">
        <v>264.16000000000003</v>
      </c>
      <c r="BL127" s="1" t="s">
        <v>56</v>
      </c>
      <c r="BM127" s="1">
        <v>1</v>
      </c>
      <c r="BN127" s="1" t="s">
        <v>56</v>
      </c>
    </row>
    <row r="128" spans="1:66" ht="15.75" customHeight="1" x14ac:dyDescent="0.2">
      <c r="A128" s="1" t="s">
        <v>54</v>
      </c>
      <c r="B128" s="1" t="s">
        <v>58</v>
      </c>
      <c r="C128" s="1">
        <v>1.4450030169999999</v>
      </c>
      <c r="D128" s="1">
        <v>1.3593347170000001</v>
      </c>
      <c r="E128" s="1">
        <v>19</v>
      </c>
      <c r="F128" s="1">
        <v>0.311852772</v>
      </c>
      <c r="G128" s="1">
        <v>71.365819549999998</v>
      </c>
      <c r="H128" s="1">
        <v>26.936577369999998</v>
      </c>
      <c r="I128" s="1">
        <v>19</v>
      </c>
      <c r="J128" s="1">
        <v>6.1796746660000004</v>
      </c>
      <c r="K128" s="1">
        <v>78.412726306572722</v>
      </c>
      <c r="L128" s="1">
        <v>20.307452804458293</v>
      </c>
      <c r="M128" s="1">
        <v>19</v>
      </c>
      <c r="N128" s="1">
        <v>4.658849188176597</v>
      </c>
      <c r="O128" s="1">
        <v>2.5705530830000001</v>
      </c>
      <c r="P128" s="1">
        <v>1.7017433120000001</v>
      </c>
      <c r="Q128" s="1">
        <v>19</v>
      </c>
      <c r="R128" s="1">
        <v>0.39040669099999997</v>
      </c>
      <c r="S128" s="1">
        <v>49.061918919999997</v>
      </c>
      <c r="T128" s="1">
        <v>33.721746250000002</v>
      </c>
      <c r="U128" s="1">
        <v>19</v>
      </c>
      <c r="V128" s="1">
        <v>7.7362991640000001</v>
      </c>
      <c r="W128" s="1">
        <v>61.597842840313049</v>
      </c>
      <c r="X128" s="1">
        <v>25.42278333844887</v>
      </c>
      <c r="Y128" s="1">
        <v>19</v>
      </c>
      <c r="Z128" s="1">
        <v>5.8323864966225374</v>
      </c>
      <c r="AA128" s="1">
        <v>95.238666670000001</v>
      </c>
      <c r="AB128" s="1">
        <v>14.323399869999999</v>
      </c>
      <c r="AC128" s="1">
        <v>15</v>
      </c>
      <c r="AD128" s="1">
        <v>3.6982859440000002</v>
      </c>
      <c r="AE128" s="1">
        <v>19.733333330000001</v>
      </c>
      <c r="AF128" s="1">
        <v>1.1629191510000001</v>
      </c>
      <c r="AG128" s="1">
        <v>15</v>
      </c>
      <c r="AH128" s="1">
        <v>0.30026443400000002</v>
      </c>
      <c r="AI128" s="1">
        <v>5.733333333</v>
      </c>
      <c r="AJ128" s="1">
        <v>1.032795559</v>
      </c>
      <c r="AK128" s="1">
        <v>15</v>
      </c>
      <c r="AL128" s="1">
        <v>0.26666666700000002</v>
      </c>
      <c r="AM128" s="1">
        <v>4.8666666669999996</v>
      </c>
      <c r="AN128" s="1">
        <v>1.187233679</v>
      </c>
      <c r="AO128" s="1">
        <v>15</v>
      </c>
      <c r="AP128" s="1">
        <v>0.30654241799999998</v>
      </c>
      <c r="AQ128" s="1">
        <v>10.6</v>
      </c>
      <c r="AR128" s="1">
        <v>2.197401062</v>
      </c>
      <c r="AS128" s="1">
        <v>15</v>
      </c>
      <c r="AT128" s="1">
        <v>0.56736651500000002</v>
      </c>
      <c r="AU128" s="1">
        <v>123.4666667</v>
      </c>
      <c r="AV128" s="1">
        <v>5.5916604569999997</v>
      </c>
      <c r="AW128" s="1">
        <v>15</v>
      </c>
      <c r="AX128" s="1">
        <v>1.443760522</v>
      </c>
      <c r="AY128" s="1">
        <v>129.2222222</v>
      </c>
      <c r="AZ128" s="1">
        <v>2.3333333330000001</v>
      </c>
      <c r="BA128" s="1">
        <v>15</v>
      </c>
      <c r="BB128" s="1">
        <v>0.77777777800000003</v>
      </c>
      <c r="BC128" s="1">
        <v>1.923076923</v>
      </c>
      <c r="BD128" s="1">
        <v>0.75955452499999998</v>
      </c>
      <c r="BE128" s="1">
        <v>13</v>
      </c>
      <c r="BF128" s="1">
        <v>0.21066252199999999</v>
      </c>
      <c r="BG128" s="1">
        <v>1</v>
      </c>
      <c r="BH128" s="1" t="s">
        <v>56</v>
      </c>
      <c r="BI128" s="1">
        <v>1</v>
      </c>
      <c r="BJ128" s="1" t="s">
        <v>56</v>
      </c>
      <c r="BK128" s="1">
        <v>241.9062133418</v>
      </c>
      <c r="BL128" s="1">
        <v>36.381435669799998</v>
      </c>
      <c r="BM128" s="1">
        <v>15</v>
      </c>
      <c r="BN128" s="1">
        <v>9.3936462977600002</v>
      </c>
    </row>
    <row r="129" spans="1:66" ht="15.75" customHeight="1" x14ac:dyDescent="0.2">
      <c r="A129" s="1" t="s">
        <v>54</v>
      </c>
      <c r="B129" s="1" t="s">
        <v>62</v>
      </c>
      <c r="C129" s="1">
        <v>1.9558772820000001</v>
      </c>
      <c r="D129" s="1">
        <v>1.199962253</v>
      </c>
      <c r="E129" s="1">
        <v>28</v>
      </c>
      <c r="F129" s="1">
        <v>0.22677154999999999</v>
      </c>
      <c r="G129" s="1">
        <v>61.242334880000001</v>
      </c>
      <c r="H129" s="1">
        <v>23.778452550000001</v>
      </c>
      <c r="I129" s="1">
        <v>28</v>
      </c>
      <c r="J129" s="1">
        <v>4.4937051439999998</v>
      </c>
      <c r="K129" s="1">
        <v>70.780643565826026</v>
      </c>
      <c r="L129" s="1">
        <v>17.926546357916067</v>
      </c>
      <c r="M129" s="1">
        <v>28</v>
      </c>
      <c r="N129" s="1">
        <v>3.3877988235226137</v>
      </c>
      <c r="O129" s="1">
        <v>2.9986478550000002</v>
      </c>
      <c r="P129" s="1">
        <v>1.732893257</v>
      </c>
      <c r="Q129" s="1">
        <v>27</v>
      </c>
      <c r="R129" s="1">
        <v>0.33349546299999999</v>
      </c>
      <c r="S129" s="1">
        <v>40.578792730000004</v>
      </c>
      <c r="T129" s="1">
        <v>34.33901358</v>
      </c>
      <c r="U129" s="1">
        <v>27</v>
      </c>
      <c r="V129" s="1">
        <v>6.6085462440000002</v>
      </c>
      <c r="W129" s="1">
        <v>55.20242436162399</v>
      </c>
      <c r="X129" s="1">
        <v>25.88814042619299</v>
      </c>
      <c r="Y129" s="1">
        <v>27</v>
      </c>
      <c r="Z129" s="1">
        <v>4.982174947960452</v>
      </c>
      <c r="AA129" s="1">
        <v>134.7142857</v>
      </c>
      <c r="AB129" s="1">
        <v>13.22979488</v>
      </c>
      <c r="AC129" s="1">
        <v>14</v>
      </c>
      <c r="AD129" s="1">
        <v>3.5358114089999999</v>
      </c>
      <c r="AE129" s="1">
        <v>21.714285709999999</v>
      </c>
      <c r="AF129" s="1">
        <v>1.857565463</v>
      </c>
      <c r="AG129" s="1">
        <v>14</v>
      </c>
      <c r="AH129" s="1">
        <v>0.49645525299999999</v>
      </c>
      <c r="AI129" s="1">
        <v>4.9285714289999998</v>
      </c>
      <c r="AJ129" s="1">
        <v>1.4392458340000001</v>
      </c>
      <c r="AK129" s="1">
        <v>14</v>
      </c>
      <c r="AL129" s="1">
        <v>0.38465462900000003</v>
      </c>
      <c r="AM129" s="1">
        <v>3.8571428569999999</v>
      </c>
      <c r="AN129" s="1">
        <v>1.292412345</v>
      </c>
      <c r="AO129" s="1">
        <v>14</v>
      </c>
      <c r="AP129" s="1">
        <v>0.34541172799999997</v>
      </c>
      <c r="AQ129" s="1">
        <v>8.7857142859999993</v>
      </c>
      <c r="AR129" s="1">
        <v>2.6941124250000001</v>
      </c>
      <c r="AS129" s="1">
        <v>14</v>
      </c>
      <c r="AT129" s="1">
        <v>0.72003183299999995</v>
      </c>
      <c r="AU129" s="1">
        <v>105.08</v>
      </c>
      <c r="AV129" s="1">
        <v>7.3082145560000003</v>
      </c>
      <c r="AW129" s="1">
        <v>14</v>
      </c>
      <c r="AX129" s="1">
        <v>1.461642911</v>
      </c>
      <c r="AY129" s="1">
        <v>111.4230769</v>
      </c>
      <c r="AZ129" s="1">
        <v>7.9053049370000004</v>
      </c>
      <c r="BA129" s="1">
        <v>14</v>
      </c>
      <c r="BB129" s="1">
        <v>1.550357851</v>
      </c>
      <c r="BC129" s="1">
        <v>1.9090909089999999</v>
      </c>
      <c r="BD129" s="1">
        <v>0.81117732799999998</v>
      </c>
      <c r="BE129" s="1">
        <v>22</v>
      </c>
      <c r="BF129" s="1">
        <v>0.17294358700000001</v>
      </c>
      <c r="BG129" s="1">
        <v>1.3333333329999999</v>
      </c>
      <c r="BH129" s="1">
        <v>0.48304589199999998</v>
      </c>
      <c r="BI129" s="1">
        <v>21</v>
      </c>
      <c r="BJ129" s="1">
        <v>0.10540925499999999</v>
      </c>
      <c r="BK129" s="1">
        <v>342.17428567799999</v>
      </c>
      <c r="BL129" s="1">
        <v>33.603678995199999</v>
      </c>
      <c r="BM129" s="1">
        <v>14</v>
      </c>
      <c r="BN129" s="1">
        <v>8.9809609788600007</v>
      </c>
    </row>
    <row r="130" spans="1:66" ht="15.75" customHeight="1" x14ac:dyDescent="0.2">
      <c r="A130" s="1" t="s">
        <v>54</v>
      </c>
      <c r="B130" s="1" t="s">
        <v>71</v>
      </c>
      <c r="C130" s="1">
        <v>2.960545459</v>
      </c>
      <c r="D130" s="1">
        <v>2.3543878789999999</v>
      </c>
      <c r="E130" s="1">
        <v>25</v>
      </c>
      <c r="F130" s="1">
        <v>0.47087757600000002</v>
      </c>
      <c r="G130" s="1">
        <v>41.333829829999999</v>
      </c>
      <c r="H130" s="1">
        <v>46.654551300000001</v>
      </c>
      <c r="I130" s="1">
        <v>25</v>
      </c>
      <c r="J130" s="1">
        <v>9.3309102599999996</v>
      </c>
      <c r="K130" s="1">
        <v>55.771645911076313</v>
      </c>
      <c r="L130" s="1">
        <v>35.172809282142197</v>
      </c>
      <c r="M130" s="1">
        <v>25</v>
      </c>
      <c r="N130" s="1">
        <v>7.0345618564284393</v>
      </c>
      <c r="O130" s="1">
        <v>5.0534275009999998</v>
      </c>
      <c r="P130" s="1">
        <v>1.884039679</v>
      </c>
      <c r="Q130" s="1">
        <v>24</v>
      </c>
      <c r="R130" s="1">
        <v>0.38457798900000001</v>
      </c>
      <c r="S130" s="1">
        <v>-0.13872167799999999</v>
      </c>
      <c r="T130" s="1">
        <v>37.334131149999997</v>
      </c>
      <c r="U130" s="1">
        <v>24</v>
      </c>
      <c r="V130" s="1">
        <v>7.6207976100000003</v>
      </c>
      <c r="W130" s="1">
        <v>24.505539942817482</v>
      </c>
      <c r="X130" s="1">
        <v>28.146155912053167</v>
      </c>
      <c r="Y130" s="1">
        <v>24</v>
      </c>
      <c r="Z130" s="1">
        <v>5.7453100171125291</v>
      </c>
      <c r="AA130" s="1">
        <v>119.95</v>
      </c>
      <c r="AB130" s="1">
        <v>17.210410060000001</v>
      </c>
      <c r="AC130" s="1">
        <v>15</v>
      </c>
      <c r="AD130" s="1">
        <v>4.4437087679999996</v>
      </c>
      <c r="AE130" s="1">
        <v>20.866666670000001</v>
      </c>
      <c r="AF130" s="1">
        <v>1.457329587</v>
      </c>
      <c r="AG130" s="1">
        <v>15</v>
      </c>
      <c r="AH130" s="1">
        <v>0.37628088100000001</v>
      </c>
      <c r="AI130" s="1">
        <v>3.4666666670000001</v>
      </c>
      <c r="AJ130" s="1">
        <v>1.187233679</v>
      </c>
      <c r="AK130" s="1">
        <v>15</v>
      </c>
      <c r="AL130" s="1">
        <v>0.30654241799999998</v>
      </c>
      <c r="AM130" s="1">
        <v>2.4</v>
      </c>
      <c r="AN130" s="1">
        <v>1.298350602</v>
      </c>
      <c r="AO130" s="1">
        <v>15</v>
      </c>
      <c r="AP130" s="1">
        <v>0.335232684</v>
      </c>
      <c r="AQ130" s="1">
        <v>5.8666666669999996</v>
      </c>
      <c r="AR130" s="1">
        <v>2.4455985729999998</v>
      </c>
      <c r="AS130" s="1">
        <v>15</v>
      </c>
      <c r="AT130" s="1">
        <v>0.63145083599999996</v>
      </c>
      <c r="AU130" s="1">
        <v>102</v>
      </c>
      <c r="AV130" s="1">
        <v>6.0621778260000001</v>
      </c>
      <c r="AW130" s="1">
        <v>15</v>
      </c>
      <c r="AX130" s="1">
        <v>1.212435565</v>
      </c>
      <c r="AY130" s="1">
        <v>108.16</v>
      </c>
      <c r="AZ130" s="1">
        <v>7.0927192720000001</v>
      </c>
      <c r="BA130" s="1">
        <v>15</v>
      </c>
      <c r="BB130" s="1">
        <v>1.4185438539999999</v>
      </c>
      <c r="BC130" s="1">
        <v>1.6666666670000001</v>
      </c>
      <c r="BD130" s="1">
        <v>0.76138698800000004</v>
      </c>
      <c r="BE130" s="1">
        <v>24</v>
      </c>
      <c r="BF130" s="1">
        <v>0.155417468</v>
      </c>
      <c r="BG130" s="1">
        <v>1.5416666670000001</v>
      </c>
      <c r="BH130" s="1">
        <v>0.58822996599999999</v>
      </c>
      <c r="BI130" s="1">
        <v>24</v>
      </c>
      <c r="BJ130" s="1">
        <v>0.120071939</v>
      </c>
      <c r="BK130" s="1">
        <v>304.673</v>
      </c>
      <c r="BL130" s="1">
        <v>43.714441552400004</v>
      </c>
      <c r="BM130" s="1">
        <v>15</v>
      </c>
      <c r="BN130" s="1">
        <v>11.287020270719999</v>
      </c>
    </row>
    <row r="131" spans="1:66" ht="15.75" customHeight="1" x14ac:dyDescent="0.2">
      <c r="A131" s="1" t="s">
        <v>54</v>
      </c>
      <c r="B131" s="1" t="s">
        <v>63</v>
      </c>
      <c r="C131" s="1">
        <v>2.965245806</v>
      </c>
      <c r="D131" s="1">
        <v>2.1346614929999999</v>
      </c>
      <c r="E131" s="1">
        <v>24</v>
      </c>
      <c r="F131" s="1">
        <v>0.43573595300000001</v>
      </c>
      <c r="G131" s="1">
        <v>41.240687739999998</v>
      </c>
      <c r="H131" s="1">
        <v>42.30045312</v>
      </c>
      <c r="I131" s="1">
        <v>24</v>
      </c>
      <c r="J131" s="1">
        <v>8.6345438370000007</v>
      </c>
      <c r="K131" s="1">
        <v>55.701426201107019</v>
      </c>
      <c r="L131" s="1">
        <v>31.890259981121616</v>
      </c>
      <c r="M131" s="1">
        <v>24</v>
      </c>
      <c r="N131" s="1">
        <v>6.5095720598705231</v>
      </c>
      <c r="O131" s="1">
        <v>4.7830080180000003</v>
      </c>
      <c r="P131" s="1">
        <v>1.7181952069999999</v>
      </c>
      <c r="Q131" s="1">
        <v>24</v>
      </c>
      <c r="R131" s="1">
        <v>0.350725128</v>
      </c>
      <c r="S131" s="1">
        <v>5.219910907</v>
      </c>
      <c r="T131" s="1">
        <v>34.047756999999997</v>
      </c>
      <c r="U131" s="1">
        <v>24</v>
      </c>
      <c r="V131" s="1">
        <v>6.9499692959999999</v>
      </c>
      <c r="W131" s="1">
        <v>28.545406509226378</v>
      </c>
      <c r="X131" s="1">
        <v>25.668562451583806</v>
      </c>
      <c r="Y131" s="1">
        <v>24</v>
      </c>
      <c r="Z131" s="1">
        <v>5.2395733697619971</v>
      </c>
      <c r="AA131" s="1">
        <v>139.7123077</v>
      </c>
      <c r="AB131" s="1">
        <v>12.91040546</v>
      </c>
      <c r="AC131" s="1">
        <v>13</v>
      </c>
      <c r="AD131" s="1">
        <v>3.5807022220000002</v>
      </c>
      <c r="AE131" s="1">
        <v>21.46153846</v>
      </c>
      <c r="AF131" s="1">
        <v>1.4500221040000001</v>
      </c>
      <c r="AG131" s="1">
        <v>13</v>
      </c>
      <c r="AH131" s="1">
        <v>0.402163773</v>
      </c>
      <c r="AI131" s="1">
        <v>5.384615385</v>
      </c>
      <c r="AJ131" s="1">
        <v>1.32529629</v>
      </c>
      <c r="AK131" s="1">
        <v>13</v>
      </c>
      <c r="AL131" s="1">
        <v>0.36757105600000001</v>
      </c>
      <c r="AM131" s="1">
        <v>4.153846154</v>
      </c>
      <c r="AN131" s="1">
        <v>1.28102523</v>
      </c>
      <c r="AO131" s="1">
        <v>13</v>
      </c>
      <c r="AP131" s="1">
        <v>0.355292473</v>
      </c>
      <c r="AQ131" s="1">
        <v>9.538461538</v>
      </c>
      <c r="AR131" s="1">
        <v>2.536907061</v>
      </c>
      <c r="AS131" s="1">
        <v>13</v>
      </c>
      <c r="AT131" s="1">
        <v>0.70361142200000004</v>
      </c>
      <c r="AU131" s="1">
        <v>114.0909091</v>
      </c>
      <c r="AV131" s="1">
        <v>8.1352208439999991</v>
      </c>
      <c r="AW131" s="1">
        <v>13</v>
      </c>
      <c r="AX131" s="1">
        <v>1.734434912</v>
      </c>
      <c r="AY131" s="1">
        <v>120.1363636</v>
      </c>
      <c r="AZ131" s="1">
        <v>6.7138481939999997</v>
      </c>
      <c r="BA131" s="1">
        <v>13</v>
      </c>
      <c r="BB131" s="1">
        <v>1.4313972450000001</v>
      </c>
      <c r="BC131" s="1">
        <v>1.375</v>
      </c>
      <c r="BD131" s="1">
        <v>0.5</v>
      </c>
      <c r="BE131" s="1">
        <v>16</v>
      </c>
      <c r="BF131" s="1">
        <v>0.125</v>
      </c>
      <c r="BG131" s="1">
        <v>1.2142857140000001</v>
      </c>
      <c r="BH131" s="1">
        <v>0.425815314</v>
      </c>
      <c r="BI131" s="1">
        <v>14</v>
      </c>
      <c r="BJ131" s="1">
        <v>0.11380393</v>
      </c>
      <c r="BK131" s="1">
        <v>354.86926155800001</v>
      </c>
      <c r="BL131" s="1">
        <v>32.792429868399999</v>
      </c>
      <c r="BM131" s="1">
        <v>13</v>
      </c>
      <c r="BN131" s="1">
        <v>9.0949836438800009</v>
      </c>
    </row>
    <row r="132" spans="1:66" ht="15.75" customHeight="1" x14ac:dyDescent="0.2">
      <c r="A132" s="1" t="s">
        <v>54</v>
      </c>
      <c r="B132" s="1" t="s">
        <v>65</v>
      </c>
      <c r="C132" s="1">
        <v>3.6621340660000001</v>
      </c>
      <c r="D132" s="1">
        <v>1.9578316630000001</v>
      </c>
      <c r="E132" s="1">
        <v>25</v>
      </c>
      <c r="F132" s="1">
        <v>0.39156633299999999</v>
      </c>
      <c r="G132" s="1">
        <v>27.431149659999999</v>
      </c>
      <c r="H132" s="1">
        <v>38.796393129999998</v>
      </c>
      <c r="I132" s="1">
        <v>25</v>
      </c>
      <c r="J132" s="1">
        <v>7.7592786260000004</v>
      </c>
      <c r="K132" s="1">
        <v>45.290432295827834</v>
      </c>
      <c r="L132" s="1">
        <v>29.248553428458823</v>
      </c>
      <c r="M132" s="1">
        <v>25</v>
      </c>
      <c r="N132" s="1">
        <v>5.8497106856917647</v>
      </c>
      <c r="O132" s="1">
        <v>5.6393791450000004</v>
      </c>
      <c r="P132" s="1">
        <v>1.446617306</v>
      </c>
      <c r="Q132" s="1">
        <v>25</v>
      </c>
      <c r="R132" s="1">
        <v>0.289323461</v>
      </c>
      <c r="S132" s="1">
        <v>-11.749939729999999</v>
      </c>
      <c r="T132" s="1">
        <v>28.666169190000002</v>
      </c>
      <c r="U132" s="1">
        <v>25</v>
      </c>
      <c r="V132" s="1">
        <v>5.7332338390000004</v>
      </c>
      <c r="W132" s="1">
        <v>15.75185682318099</v>
      </c>
      <c r="X132" s="1">
        <v>21.611389969507776</v>
      </c>
      <c r="Y132" s="1">
        <v>25</v>
      </c>
      <c r="Z132" s="1">
        <v>4.3222779939015554</v>
      </c>
      <c r="AA132" s="1">
        <v>129.7647059</v>
      </c>
      <c r="AB132" s="1">
        <v>12.12966102</v>
      </c>
      <c r="AC132" s="1">
        <v>17</v>
      </c>
      <c r="AD132" s="1">
        <v>2.9418749169999998</v>
      </c>
      <c r="AE132" s="1">
        <v>21.470588240000001</v>
      </c>
      <c r="AF132" s="1">
        <v>1.62471717</v>
      </c>
      <c r="AG132" s="1">
        <v>17</v>
      </c>
      <c r="AH132" s="1">
        <v>0.39405179400000001</v>
      </c>
      <c r="AI132" s="1">
        <v>4.3529411759999999</v>
      </c>
      <c r="AJ132" s="1">
        <v>1.6179144160000001</v>
      </c>
      <c r="AK132" s="1">
        <v>17</v>
      </c>
      <c r="AL132" s="1">
        <v>0.39240188399999998</v>
      </c>
      <c r="AM132" s="1">
        <v>3.411764706</v>
      </c>
      <c r="AN132" s="1">
        <v>1.6977493749999999</v>
      </c>
      <c r="AO132" s="1">
        <v>17</v>
      </c>
      <c r="AP132" s="1">
        <v>0.41176470599999998</v>
      </c>
      <c r="AQ132" s="1">
        <v>7.7647058820000003</v>
      </c>
      <c r="AR132" s="1">
        <v>3.2887955959999999</v>
      </c>
      <c r="AS132" s="1">
        <v>17</v>
      </c>
      <c r="AT132" s="1">
        <v>0.79765009499999995</v>
      </c>
      <c r="AU132" s="1">
        <v>104.33333330000001</v>
      </c>
      <c r="AV132" s="1">
        <v>4.913748827</v>
      </c>
      <c r="AW132" s="1">
        <v>17</v>
      </c>
      <c r="AX132" s="1">
        <v>1.0030147789999999</v>
      </c>
      <c r="AY132" s="1">
        <v>105.79166669999999</v>
      </c>
      <c r="AZ132" s="1">
        <v>5.0474200610000004</v>
      </c>
      <c r="BA132" s="1">
        <v>17</v>
      </c>
      <c r="BB132" s="1">
        <v>1.030300306</v>
      </c>
      <c r="BC132" s="1">
        <v>1.5909090910000001</v>
      </c>
      <c r="BD132" s="1">
        <v>0.66612532099999999</v>
      </c>
      <c r="BE132" s="1">
        <v>22</v>
      </c>
      <c r="BF132" s="1">
        <v>0.14201839599999999</v>
      </c>
      <c r="BG132" s="1">
        <v>1.5</v>
      </c>
      <c r="BH132" s="1">
        <v>0.51298917600000005</v>
      </c>
      <c r="BI132" s="1">
        <v>20</v>
      </c>
      <c r="BJ132" s="1">
        <v>0.11470786700000001</v>
      </c>
      <c r="BK132" s="1">
        <v>329.60235298599997</v>
      </c>
      <c r="BL132" s="1">
        <v>30.809338990800001</v>
      </c>
      <c r="BM132" s="1">
        <v>17</v>
      </c>
      <c r="BN132" s="1">
        <v>7.4723622891799995</v>
      </c>
    </row>
    <row r="133" spans="1:66" ht="15.75" customHeight="1" x14ac:dyDescent="0.2">
      <c r="A133" s="1" t="s">
        <v>54</v>
      </c>
      <c r="B133" s="1" t="s">
        <v>66</v>
      </c>
      <c r="C133" s="1">
        <v>3.977018508</v>
      </c>
      <c r="D133" s="1">
        <v>4.111133938</v>
      </c>
      <c r="E133" s="1">
        <v>3</v>
      </c>
      <c r="F133" s="1">
        <v>2.3735642860000001</v>
      </c>
      <c r="G133" s="1">
        <v>21.191399400000002</v>
      </c>
      <c r="H133" s="1">
        <v>81.466231980000003</v>
      </c>
      <c r="I133" s="1">
        <v>3</v>
      </c>
      <c r="J133" s="1">
        <v>47.034550959999997</v>
      </c>
      <c r="K133" s="1">
        <v>40.586292203494764</v>
      </c>
      <c r="L133" s="1">
        <v>61.417292875207117</v>
      </c>
      <c r="M133" s="1">
        <v>3</v>
      </c>
      <c r="N133" s="1">
        <v>35.459290574398914</v>
      </c>
      <c r="O133" s="1">
        <v>4.1565943289999998</v>
      </c>
      <c r="P133" s="1">
        <v>2.3468742840000001</v>
      </c>
      <c r="Q133" s="1">
        <v>3</v>
      </c>
      <c r="R133" s="1">
        <v>1.3549685</v>
      </c>
      <c r="S133" s="1">
        <v>17.63292487</v>
      </c>
      <c r="T133" s="1">
        <v>46.5056619</v>
      </c>
      <c r="U133" s="1">
        <v>3</v>
      </c>
      <c r="V133" s="1">
        <v>26.850056410000001</v>
      </c>
      <c r="W133" s="1">
        <v>37.903562581830407</v>
      </c>
      <c r="X133" s="1">
        <v>35.060561745350377</v>
      </c>
      <c r="Y133" s="1">
        <v>3</v>
      </c>
      <c r="Z133" s="1">
        <v>20.242224761617535</v>
      </c>
      <c r="AA133" s="1">
        <v>138.125</v>
      </c>
      <c r="AB133" s="1">
        <v>7.2478445069999999</v>
      </c>
      <c r="AC133" s="1">
        <v>2</v>
      </c>
      <c r="AD133" s="1">
        <v>5.125</v>
      </c>
      <c r="AE133" s="1">
        <v>22</v>
      </c>
      <c r="AF133" s="1">
        <v>1.414213562</v>
      </c>
      <c r="AG133" s="1">
        <v>2</v>
      </c>
      <c r="AH133" s="1">
        <v>1</v>
      </c>
      <c r="AI133" s="1">
        <v>5.5</v>
      </c>
      <c r="AJ133" s="1">
        <v>2.1213203439999999</v>
      </c>
      <c r="AK133" s="1">
        <v>2</v>
      </c>
      <c r="AL133" s="1">
        <v>1.5</v>
      </c>
      <c r="AM133" s="1">
        <v>5</v>
      </c>
      <c r="AN133" s="1">
        <v>1.414213562</v>
      </c>
      <c r="AO133" s="1">
        <v>2</v>
      </c>
      <c r="AP133" s="1">
        <v>1</v>
      </c>
      <c r="AQ133" s="1">
        <v>10.5</v>
      </c>
      <c r="AR133" s="1">
        <v>3.5355339059999999</v>
      </c>
      <c r="AS133" s="1">
        <v>2</v>
      </c>
      <c r="AT133" s="1">
        <v>2.5</v>
      </c>
      <c r="AU133" s="1">
        <v>102</v>
      </c>
      <c r="AV133" s="1" t="s">
        <v>56</v>
      </c>
      <c r="AW133" s="1">
        <v>2</v>
      </c>
      <c r="AX133" s="1" t="s">
        <v>56</v>
      </c>
      <c r="AY133" s="1">
        <v>116</v>
      </c>
      <c r="AZ133" s="1" t="s">
        <v>56</v>
      </c>
      <c r="BA133" s="1">
        <v>2</v>
      </c>
      <c r="BB133" s="1" t="s">
        <v>56</v>
      </c>
      <c r="BC133" s="1">
        <v>1</v>
      </c>
      <c r="BD133" s="1" t="s">
        <v>56</v>
      </c>
      <c r="BE133" s="1">
        <v>1</v>
      </c>
      <c r="BF133" s="1" t="s">
        <v>56</v>
      </c>
      <c r="BG133" s="1" t="s">
        <v>56</v>
      </c>
      <c r="BH133" s="1" t="s">
        <v>56</v>
      </c>
      <c r="BI133" s="1">
        <v>0</v>
      </c>
      <c r="BJ133" s="1" t="s">
        <v>56</v>
      </c>
      <c r="BK133" s="1">
        <v>350.83749999999998</v>
      </c>
      <c r="BL133" s="1">
        <v>18.409525047780001</v>
      </c>
      <c r="BM133" s="1">
        <v>2</v>
      </c>
      <c r="BN133" s="1">
        <v>13.0175</v>
      </c>
    </row>
    <row r="134" spans="1:66" ht="15.75" customHeight="1" x14ac:dyDescent="0.2">
      <c r="A134" s="1" t="s">
        <v>54</v>
      </c>
      <c r="B134" s="1" t="s">
        <v>68</v>
      </c>
      <c r="C134" s="1">
        <v>7.1150215269999997</v>
      </c>
      <c r="D134" s="1">
        <v>3.788142224</v>
      </c>
      <c r="E134" s="1">
        <v>25</v>
      </c>
      <c r="F134" s="1">
        <v>0.75762844500000004</v>
      </c>
      <c r="G134" s="1">
        <v>-40.991269840000001</v>
      </c>
      <c r="H134" s="1">
        <v>75.065828049999993</v>
      </c>
      <c r="I134" s="1">
        <v>25</v>
      </c>
      <c r="J134" s="1">
        <v>15.01316561</v>
      </c>
      <c r="K134" s="1">
        <v>-6.2931462561303526</v>
      </c>
      <c r="L134" s="1">
        <v>56.592036149370728</v>
      </c>
      <c r="M134" s="1">
        <v>25</v>
      </c>
      <c r="N134" s="1">
        <v>11.318407229874145</v>
      </c>
      <c r="O134" s="1">
        <v>7.7622538759999999</v>
      </c>
      <c r="P134" s="1">
        <v>2.4931860260000001</v>
      </c>
      <c r="Q134" s="1">
        <v>24</v>
      </c>
      <c r="R134" s="1">
        <v>0.50891946700000001</v>
      </c>
      <c r="S134" s="1">
        <v>-53.816826390000003</v>
      </c>
      <c r="T134" s="1">
        <v>49.404975450000002</v>
      </c>
      <c r="U134" s="1">
        <v>24</v>
      </c>
      <c r="V134" s="1">
        <v>10.084748380000001</v>
      </c>
      <c r="W134" s="1">
        <v>-15.962317683582441</v>
      </c>
      <c r="X134" s="1">
        <v>37.246350693897433</v>
      </c>
      <c r="Y134" s="1">
        <v>24</v>
      </c>
      <c r="Z134" s="1">
        <v>7.602879498400573</v>
      </c>
      <c r="AA134" s="1">
        <v>109.75</v>
      </c>
      <c r="AB134" s="1">
        <v>17.146428199999999</v>
      </c>
      <c r="AC134" s="1">
        <v>13</v>
      </c>
      <c r="AD134" s="1">
        <v>4.7555635430000001</v>
      </c>
      <c r="AE134" s="1">
        <v>20.76923077</v>
      </c>
      <c r="AF134" s="1">
        <v>1.87766904</v>
      </c>
      <c r="AG134" s="1">
        <v>13</v>
      </c>
      <c r="AH134" s="1">
        <v>0.52077169300000004</v>
      </c>
      <c r="AI134" s="1">
        <v>4.846153846</v>
      </c>
      <c r="AJ134" s="1">
        <v>2.154303981</v>
      </c>
      <c r="AK134" s="1">
        <v>13</v>
      </c>
      <c r="AL134" s="1">
        <v>0.59749642000000003</v>
      </c>
      <c r="AM134" s="1">
        <v>3.692307692</v>
      </c>
      <c r="AN134" s="1">
        <v>2.0568833780000002</v>
      </c>
      <c r="AO134" s="1">
        <v>13</v>
      </c>
      <c r="AP134" s="1">
        <v>0.57047680700000003</v>
      </c>
      <c r="AQ134" s="1">
        <v>8.538461538</v>
      </c>
      <c r="AR134" s="1">
        <v>4.1756313819999997</v>
      </c>
      <c r="AS134" s="1">
        <v>13</v>
      </c>
      <c r="AT134" s="1">
        <v>1.1581117729999999</v>
      </c>
      <c r="AU134" s="1">
        <v>107.0909091</v>
      </c>
      <c r="AV134" s="1">
        <v>9.2113237290000001</v>
      </c>
      <c r="AW134" s="1">
        <v>13</v>
      </c>
      <c r="AX134" s="1">
        <v>1.9638608179999999</v>
      </c>
      <c r="AY134" s="1">
        <v>111.8636364</v>
      </c>
      <c r="AZ134" s="1">
        <v>7.3762518200000002</v>
      </c>
      <c r="BA134" s="1">
        <v>13</v>
      </c>
      <c r="BB134" s="1">
        <v>1.572622172</v>
      </c>
      <c r="BC134" s="1">
        <v>1.8947368419999999</v>
      </c>
      <c r="BD134" s="1">
        <v>0.87526103</v>
      </c>
      <c r="BE134" s="1">
        <v>19</v>
      </c>
      <c r="BF134" s="1">
        <v>0.20079865199999999</v>
      </c>
      <c r="BG134" s="1">
        <v>1.4375</v>
      </c>
      <c r="BH134" s="1">
        <v>0.51234753799999999</v>
      </c>
      <c r="BI134" s="1">
        <v>16</v>
      </c>
      <c r="BJ134" s="1">
        <v>0.12808688500000001</v>
      </c>
      <c r="BK134" s="1">
        <v>278.76499999999999</v>
      </c>
      <c r="BL134" s="1">
        <v>43.551927628000001</v>
      </c>
      <c r="BM134" s="1">
        <v>13</v>
      </c>
      <c r="BN134" s="1">
        <v>12.07913139922</v>
      </c>
    </row>
    <row r="135" spans="1:66" ht="15.75" customHeight="1" x14ac:dyDescent="0.2">
      <c r="A135" s="1" t="s">
        <v>54</v>
      </c>
      <c r="B135" s="1" t="s">
        <v>70</v>
      </c>
      <c r="C135" s="1">
        <v>8.562713746</v>
      </c>
      <c r="D135" s="1">
        <v>2.5651806609999999</v>
      </c>
      <c r="E135" s="1">
        <v>25</v>
      </c>
      <c r="F135" s="1">
        <v>0.51303613199999998</v>
      </c>
      <c r="G135" s="1">
        <v>-69.678739519999993</v>
      </c>
      <c r="H135" s="1">
        <v>50.831621159999997</v>
      </c>
      <c r="I135" s="1">
        <v>25</v>
      </c>
      <c r="J135" s="1">
        <v>10.166324230000001</v>
      </c>
      <c r="K135" s="1">
        <v>-27.920594635277034</v>
      </c>
      <c r="L135" s="1">
        <v>38.321897150154513</v>
      </c>
      <c r="M135" s="1">
        <v>25</v>
      </c>
      <c r="N135" s="1">
        <v>7.6643794300309027</v>
      </c>
      <c r="O135" s="1">
        <v>8.9073356080000003</v>
      </c>
      <c r="P135" s="1">
        <v>1.6986384450000001</v>
      </c>
      <c r="Q135" s="1">
        <v>25</v>
      </c>
      <c r="R135" s="1">
        <v>0.339727689</v>
      </c>
      <c r="S135" s="1">
        <v>-76.507766509999996</v>
      </c>
      <c r="T135" s="1">
        <v>33.660220219999999</v>
      </c>
      <c r="U135" s="1">
        <v>25</v>
      </c>
      <c r="V135" s="1">
        <v>6.7320440430000001</v>
      </c>
      <c r="W135" s="1">
        <v>-33.068989746324995</v>
      </c>
      <c r="X135" s="1">
        <v>25.376398937807902</v>
      </c>
      <c r="Y135" s="1">
        <v>25</v>
      </c>
      <c r="Z135" s="1">
        <v>5.0752797875615805</v>
      </c>
      <c r="AA135" s="1">
        <v>119.0666667</v>
      </c>
      <c r="AB135" s="1">
        <v>7.8253632199999998</v>
      </c>
      <c r="AC135" s="1">
        <v>15</v>
      </c>
      <c r="AD135" s="1">
        <v>2.0205000950000001</v>
      </c>
      <c r="AE135" s="1">
        <v>20.533333330000001</v>
      </c>
      <c r="AF135" s="1">
        <v>0.99043040199999999</v>
      </c>
      <c r="AG135" s="1">
        <v>15</v>
      </c>
      <c r="AH135" s="1">
        <v>0.25572803</v>
      </c>
      <c r="AI135" s="1">
        <v>4.266666667</v>
      </c>
      <c r="AJ135" s="1">
        <v>1.3870146080000001</v>
      </c>
      <c r="AK135" s="1">
        <v>15</v>
      </c>
      <c r="AL135" s="1">
        <v>0.35812563200000003</v>
      </c>
      <c r="AM135" s="1">
        <v>3.2</v>
      </c>
      <c r="AN135" s="1">
        <v>1.2649110640000001</v>
      </c>
      <c r="AO135" s="1">
        <v>15</v>
      </c>
      <c r="AP135" s="1">
        <v>0.326598632</v>
      </c>
      <c r="AQ135" s="1">
        <v>7.4666666670000001</v>
      </c>
      <c r="AR135" s="1">
        <v>2.6149751889999999</v>
      </c>
      <c r="AS135" s="1">
        <v>15</v>
      </c>
      <c r="AT135" s="1">
        <v>0.67518369</v>
      </c>
      <c r="AU135" s="1">
        <v>101.72</v>
      </c>
      <c r="AV135" s="1">
        <v>4.2770706489999997</v>
      </c>
      <c r="AW135" s="1">
        <v>15</v>
      </c>
      <c r="AX135" s="1">
        <v>0.85541412999999999</v>
      </c>
      <c r="AY135" s="1">
        <v>104.52</v>
      </c>
      <c r="AZ135" s="1">
        <v>4.4639295099999998</v>
      </c>
      <c r="BA135" s="1">
        <v>15</v>
      </c>
      <c r="BB135" s="1">
        <v>0.89278590199999996</v>
      </c>
      <c r="BC135" s="1">
        <v>2.2916666669999999</v>
      </c>
      <c r="BD135" s="1">
        <v>0.75060362199999997</v>
      </c>
      <c r="BE135" s="1">
        <v>24</v>
      </c>
      <c r="BF135" s="1">
        <v>0.15321632299999999</v>
      </c>
      <c r="BG135" s="1">
        <v>1.9166666670000001</v>
      </c>
      <c r="BH135" s="1">
        <v>0.40824829000000001</v>
      </c>
      <c r="BI135" s="1">
        <v>24</v>
      </c>
      <c r="BJ135" s="1">
        <v>8.3333332999999996E-2</v>
      </c>
      <c r="BK135" s="1">
        <v>302.429333418</v>
      </c>
      <c r="BL135" s="1">
        <v>19.8764225788</v>
      </c>
      <c r="BM135" s="1">
        <v>15</v>
      </c>
      <c r="BN135" s="1">
        <v>5.1320702413000001</v>
      </c>
    </row>
    <row r="136" spans="1:66" ht="15.75" customHeight="1" x14ac:dyDescent="0.2"/>
    <row r="137" spans="1:66" ht="15.75" customHeight="1" x14ac:dyDescent="0.2">
      <c r="A137" s="1" t="s">
        <v>59</v>
      </c>
      <c r="B137" s="1" t="s">
        <v>60</v>
      </c>
      <c r="C137" s="1">
        <v>1.46794607</v>
      </c>
      <c r="D137" s="1">
        <v>1.144902801</v>
      </c>
      <c r="E137" s="1">
        <v>24</v>
      </c>
      <c r="F137" s="1">
        <v>0.233702306</v>
      </c>
      <c r="G137" s="1">
        <v>70.911180009999995</v>
      </c>
      <c r="H137" s="1">
        <v>22.687394439999998</v>
      </c>
      <c r="I137" s="1">
        <v>24</v>
      </c>
      <c r="J137" s="1">
        <v>4.6310449970000001</v>
      </c>
      <c r="K137" s="1">
        <v>78.069974111537221</v>
      </c>
      <c r="L137" s="1">
        <v>17.103998977990781</v>
      </c>
      <c r="M137" s="1">
        <v>24</v>
      </c>
      <c r="N137" s="1">
        <v>3.4913391714301985</v>
      </c>
      <c r="O137" s="1">
        <v>3.4929694530000002</v>
      </c>
      <c r="P137" s="1">
        <v>1.668643882</v>
      </c>
      <c r="Q137" s="1">
        <v>25</v>
      </c>
      <c r="R137" s="1">
        <v>0.333728776</v>
      </c>
      <c r="S137" s="1">
        <v>30.783315699999999</v>
      </c>
      <c r="T137" s="1">
        <v>33.065847939999998</v>
      </c>
      <c r="U137" s="1">
        <v>25</v>
      </c>
      <c r="V137" s="1">
        <v>6.6131695869999998</v>
      </c>
      <c r="W137" s="1">
        <v>47.81762618649045</v>
      </c>
      <c r="X137" s="1">
        <v>24.928302403620616</v>
      </c>
      <c r="Y137" s="1">
        <v>25</v>
      </c>
      <c r="Z137" s="1">
        <v>4.9856604807241229</v>
      </c>
      <c r="AA137" s="1">
        <v>143.14266670000001</v>
      </c>
      <c r="AB137" s="1">
        <v>10.417988879999999</v>
      </c>
      <c r="AC137" s="1">
        <v>15</v>
      </c>
      <c r="AD137" s="1">
        <v>2.6899131629999999</v>
      </c>
      <c r="AE137" s="1">
        <v>21.93333333</v>
      </c>
      <c r="AF137" s="1">
        <v>1.751190072</v>
      </c>
      <c r="AG137" s="1">
        <v>15</v>
      </c>
      <c r="AH137" s="1">
        <v>0.45215533200000002</v>
      </c>
      <c r="AI137" s="1">
        <v>6.4666666670000001</v>
      </c>
      <c r="AJ137" s="1">
        <v>1.457329587</v>
      </c>
      <c r="AK137" s="1">
        <v>15</v>
      </c>
      <c r="AL137" s="1">
        <v>0.37628088100000001</v>
      </c>
      <c r="AM137" s="1">
        <v>5.5333333329999999</v>
      </c>
      <c r="AN137" s="1">
        <v>1.457329587</v>
      </c>
      <c r="AO137" s="1">
        <v>15</v>
      </c>
      <c r="AP137" s="1">
        <v>0.37628088100000001</v>
      </c>
      <c r="AQ137" s="1">
        <v>12</v>
      </c>
      <c r="AR137" s="1">
        <v>2.9032002050000001</v>
      </c>
      <c r="AS137" s="1">
        <v>15</v>
      </c>
      <c r="AT137" s="1">
        <v>0.74960307000000004</v>
      </c>
      <c r="AU137" s="1">
        <v>117.4</v>
      </c>
      <c r="AV137" s="1">
        <v>6.7019897540000004</v>
      </c>
      <c r="AW137" s="1">
        <v>15</v>
      </c>
      <c r="AX137" s="1">
        <v>1.3403979509999999</v>
      </c>
      <c r="AY137" s="1">
        <v>121.88</v>
      </c>
      <c r="AZ137" s="1">
        <v>5.2227068330000002</v>
      </c>
      <c r="BA137" s="1">
        <v>15</v>
      </c>
      <c r="BB137" s="1">
        <v>1.0445413670000001</v>
      </c>
      <c r="BC137" s="1">
        <v>1.2380952380000001</v>
      </c>
      <c r="BD137" s="1">
        <v>0.43643578</v>
      </c>
      <c r="BE137" s="1">
        <v>21</v>
      </c>
      <c r="BF137" s="1">
        <v>9.5238094999999995E-2</v>
      </c>
      <c r="BG137" s="1">
        <v>1.125</v>
      </c>
      <c r="BH137" s="1">
        <v>0.34156502599999999</v>
      </c>
      <c r="BI137" s="1">
        <v>16</v>
      </c>
      <c r="BJ137" s="1">
        <v>8.5391255999999999E-2</v>
      </c>
      <c r="BK137" s="1">
        <v>363.58237341800003</v>
      </c>
      <c r="BL137" s="1">
        <v>26.4616917552</v>
      </c>
      <c r="BM137" s="1">
        <v>15</v>
      </c>
      <c r="BN137" s="1">
        <v>6.8323794340199999</v>
      </c>
    </row>
    <row r="138" spans="1:66" ht="15.75" customHeight="1" x14ac:dyDescent="0.2">
      <c r="A138" s="1" t="s">
        <v>59</v>
      </c>
      <c r="B138" s="1" t="s">
        <v>109</v>
      </c>
      <c r="C138" s="1">
        <v>1.61679452</v>
      </c>
      <c r="D138" s="1">
        <v>1.4091360500000001</v>
      </c>
      <c r="E138" s="1">
        <v>21</v>
      </c>
      <c r="F138" s="1">
        <v>0.30749869600000002</v>
      </c>
      <c r="G138" s="1">
        <v>67.961599039999996</v>
      </c>
      <c r="H138" s="1">
        <v>27.923440620000001</v>
      </c>
      <c r="I138" s="1">
        <v>21</v>
      </c>
      <c r="J138" s="1">
        <v>6.0933942999999999</v>
      </c>
      <c r="K138" s="1">
        <v>75.846288619064438</v>
      </c>
      <c r="L138" s="1">
        <v>21.051447805560642</v>
      </c>
      <c r="M138" s="1">
        <v>21</v>
      </c>
      <c r="N138" s="1">
        <v>4.5938025265425546</v>
      </c>
      <c r="O138" s="1">
        <v>2.7613103099999998</v>
      </c>
      <c r="P138" s="1">
        <v>1.4064497410000001</v>
      </c>
      <c r="Q138" s="1">
        <v>21</v>
      </c>
      <c r="R138" s="1">
        <v>0.30691249500000001</v>
      </c>
      <c r="S138" s="1">
        <v>45.28187363</v>
      </c>
      <c r="T138" s="1">
        <v>27.87020871</v>
      </c>
      <c r="U138" s="1">
        <v>21</v>
      </c>
      <c r="V138" s="1">
        <v>6.0817781440000003</v>
      </c>
      <c r="W138" s="1">
        <v>58.74807131521677</v>
      </c>
      <c r="X138" s="1">
        <v>21.011316328095436</v>
      </c>
      <c r="Y138" s="1">
        <v>21</v>
      </c>
      <c r="Z138" s="1">
        <v>4.5850451201980444</v>
      </c>
      <c r="AA138" s="1">
        <v>122.0714286</v>
      </c>
      <c r="AB138" s="1">
        <v>16.895444470000001</v>
      </c>
      <c r="AC138" s="1">
        <v>14</v>
      </c>
      <c r="AD138" s="1">
        <v>4.5154974729999999</v>
      </c>
      <c r="AE138" s="1">
        <v>20.928571430000002</v>
      </c>
      <c r="AF138" s="1">
        <v>1.3847680010000001</v>
      </c>
      <c r="AG138" s="1">
        <v>14</v>
      </c>
      <c r="AH138" s="1">
        <v>0.37009481599999999</v>
      </c>
      <c r="AI138" s="1">
        <v>4.7857142860000002</v>
      </c>
      <c r="AJ138" s="1">
        <v>1.9681530359999999</v>
      </c>
      <c r="AK138" s="1">
        <v>14</v>
      </c>
      <c r="AL138" s="1">
        <v>0.52601102499999997</v>
      </c>
      <c r="AM138" s="1">
        <v>3.8571428569999999</v>
      </c>
      <c r="AN138" s="1">
        <v>1.875228924</v>
      </c>
      <c r="AO138" s="1">
        <v>14</v>
      </c>
      <c r="AP138" s="1">
        <v>0.50117601099999998</v>
      </c>
      <c r="AQ138" s="1">
        <v>7.9166666670000003</v>
      </c>
      <c r="AR138" s="1">
        <v>2.6097137890000002</v>
      </c>
      <c r="AS138" s="1">
        <v>12</v>
      </c>
      <c r="AT138" s="1">
        <v>0.753359479</v>
      </c>
      <c r="AU138" s="1">
        <v>116.7</v>
      </c>
      <c r="AV138" s="1">
        <v>7.4980699270000004</v>
      </c>
      <c r="AW138" s="1">
        <v>14</v>
      </c>
      <c r="AX138" s="1">
        <v>1.6766194059999999</v>
      </c>
      <c r="AY138" s="1">
        <v>121.8947368</v>
      </c>
      <c r="AZ138" s="1">
        <v>5.3530337899999996</v>
      </c>
      <c r="BA138" s="1">
        <v>14</v>
      </c>
      <c r="BB138" s="1">
        <v>1.228070175</v>
      </c>
      <c r="BC138" s="1">
        <v>1.636363636</v>
      </c>
      <c r="BD138" s="1">
        <v>0.67419986200000004</v>
      </c>
      <c r="BE138" s="1">
        <v>11</v>
      </c>
      <c r="BF138" s="1">
        <v>0.20327890700000001</v>
      </c>
      <c r="BG138" s="1">
        <v>1.1666666670000001</v>
      </c>
      <c r="BH138" s="1">
        <v>0.40824829000000001</v>
      </c>
      <c r="BI138" s="1">
        <v>6</v>
      </c>
      <c r="BJ138" s="1">
        <v>0.16666666699999999</v>
      </c>
      <c r="BK138" s="1">
        <v>310.06142864399999</v>
      </c>
      <c r="BL138" s="1">
        <v>42.914428953800005</v>
      </c>
      <c r="BM138" s="1">
        <v>14</v>
      </c>
      <c r="BN138" s="1">
        <v>11.46936358142</v>
      </c>
    </row>
    <row r="139" spans="1:66" ht="15.75" customHeight="1" x14ac:dyDescent="0.2">
      <c r="A139" s="1" t="s">
        <v>59</v>
      </c>
      <c r="B139" s="1" t="s">
        <v>72</v>
      </c>
      <c r="C139" s="1">
        <v>3.0902559119999999</v>
      </c>
      <c r="D139" s="1">
        <v>1.382920427</v>
      </c>
      <c r="E139" s="1">
        <v>6</v>
      </c>
      <c r="F139" s="1">
        <v>0.56457489999999999</v>
      </c>
      <c r="G139" s="1">
        <v>38.763487429999998</v>
      </c>
      <c r="H139" s="1">
        <v>27.403951809999999</v>
      </c>
      <c r="I139" s="1">
        <v>6</v>
      </c>
      <c r="J139" s="1">
        <v>11.187616480000001</v>
      </c>
      <c r="K139" s="1">
        <v>53.833867915222051</v>
      </c>
      <c r="L139" s="1">
        <v>20.659805824317552</v>
      </c>
      <c r="M139" s="1">
        <v>6</v>
      </c>
      <c r="N139" s="1">
        <v>8.4343304090930022</v>
      </c>
      <c r="O139" s="1">
        <v>4.1252708460000003</v>
      </c>
      <c r="P139" s="1">
        <v>1.2904025379999999</v>
      </c>
      <c r="Q139" s="1">
        <v>6</v>
      </c>
      <c r="R139" s="1">
        <v>0.52680463</v>
      </c>
      <c r="S139" s="1">
        <v>18.25363102</v>
      </c>
      <c r="T139" s="1">
        <v>25.57061728</v>
      </c>
      <c r="U139" s="1">
        <v>6</v>
      </c>
      <c r="V139" s="1">
        <v>10.439160790000001</v>
      </c>
      <c r="W139" s="1">
        <v>38.371512192092915</v>
      </c>
      <c r="X139" s="1">
        <v>19.277657155440618</v>
      </c>
      <c r="Y139" s="1">
        <v>6</v>
      </c>
      <c r="Z139" s="1">
        <v>7.8700705778570894</v>
      </c>
      <c r="AA139" s="1">
        <v>69.458333330000002</v>
      </c>
      <c r="AB139" s="1">
        <v>8.4976712499999998</v>
      </c>
      <c r="AC139" s="1">
        <v>6</v>
      </c>
      <c r="AD139" s="1">
        <v>3.4691597609999998</v>
      </c>
      <c r="AE139" s="1">
        <v>12.33333333</v>
      </c>
      <c r="AF139" s="1">
        <v>1.366260102</v>
      </c>
      <c r="AG139" s="1">
        <v>6</v>
      </c>
      <c r="AH139" s="1">
        <v>0.55777335100000003</v>
      </c>
      <c r="AI139" s="1">
        <v>2</v>
      </c>
      <c r="AJ139" s="1">
        <v>0.63245553200000004</v>
      </c>
      <c r="AK139" s="1">
        <v>6</v>
      </c>
      <c r="AL139" s="1">
        <v>0.25819889000000001</v>
      </c>
      <c r="AM139" s="1">
        <v>1.1666666670000001</v>
      </c>
      <c r="AN139" s="1">
        <v>0.75277265299999996</v>
      </c>
      <c r="AO139" s="1">
        <v>6</v>
      </c>
      <c r="AP139" s="1">
        <v>0.30731814899999998</v>
      </c>
      <c r="AQ139" s="1">
        <v>3.1666666669999999</v>
      </c>
      <c r="AR139" s="1">
        <v>1.169045194</v>
      </c>
      <c r="AS139" s="1">
        <v>6</v>
      </c>
      <c r="AT139" s="1">
        <v>0.47726070199999998</v>
      </c>
      <c r="AU139" s="1">
        <v>74</v>
      </c>
      <c r="AV139" s="1">
        <v>4.4271887239999996</v>
      </c>
      <c r="AW139" s="1">
        <v>6</v>
      </c>
      <c r="AX139" s="1">
        <v>1.8073922280000001</v>
      </c>
      <c r="AY139" s="1">
        <v>79.833333330000002</v>
      </c>
      <c r="AZ139" s="1">
        <v>2.857738033</v>
      </c>
      <c r="BA139" s="1">
        <v>6</v>
      </c>
      <c r="BB139" s="1">
        <v>1.1666666670000001</v>
      </c>
      <c r="BC139" s="1">
        <v>1.3333333329999999</v>
      </c>
      <c r="BD139" s="1">
        <v>0.51639777899999995</v>
      </c>
      <c r="BE139" s="1">
        <v>6</v>
      </c>
      <c r="BF139" s="1">
        <v>0.21081851099999999</v>
      </c>
      <c r="BG139" s="1">
        <v>1.3333333329999999</v>
      </c>
      <c r="BH139" s="1">
        <v>0.51639777899999995</v>
      </c>
      <c r="BI139" s="1">
        <v>6</v>
      </c>
      <c r="BJ139" s="1">
        <v>0.21081851099999999</v>
      </c>
      <c r="BK139" s="1">
        <v>176.42416665819999</v>
      </c>
      <c r="BL139" s="1">
        <v>21.584084975</v>
      </c>
      <c r="BM139" s="1">
        <v>6</v>
      </c>
      <c r="BN139" s="1">
        <v>8.8116657929399995</v>
      </c>
    </row>
    <row r="140" spans="1:66" ht="15.75" customHeight="1" x14ac:dyDescent="0.2">
      <c r="A140" s="1" t="s">
        <v>59</v>
      </c>
      <c r="B140" s="1" t="s">
        <v>110</v>
      </c>
      <c r="C140" s="1">
        <v>3.5981564079999999</v>
      </c>
      <c r="D140" s="1">
        <v>1.7665742659999999</v>
      </c>
      <c r="E140" s="1">
        <v>26</v>
      </c>
      <c r="F140" s="1">
        <v>0.34645371699999999</v>
      </c>
      <c r="G140" s="1">
        <v>28.698930959999998</v>
      </c>
      <c r="H140" s="1">
        <v>35.006436460000003</v>
      </c>
      <c r="I140" s="1">
        <v>26</v>
      </c>
      <c r="J140" s="1">
        <v>6.8653270239999999</v>
      </c>
      <c r="K140" s="1">
        <v>46.246211069125849</v>
      </c>
      <c r="L140" s="1">
        <v>26.391309723077448</v>
      </c>
      <c r="M140" s="1">
        <v>26</v>
      </c>
      <c r="N140" s="1">
        <v>5.1757616641247273</v>
      </c>
      <c r="O140" s="1">
        <v>5.1897409889999997</v>
      </c>
      <c r="P140" s="1">
        <v>1.404511021</v>
      </c>
      <c r="Q140" s="1">
        <v>25</v>
      </c>
      <c r="R140" s="1">
        <v>0.28090220399999999</v>
      </c>
      <c r="S140" s="1">
        <v>-2.8399098330000001</v>
      </c>
      <c r="T140" s="1">
        <v>27.831791039999999</v>
      </c>
      <c r="U140" s="1">
        <v>25</v>
      </c>
      <c r="V140" s="1">
        <v>5.5663582079999996</v>
      </c>
      <c r="W140" s="1">
        <v>22.469117490611328</v>
      </c>
      <c r="X140" s="1">
        <v>20.982353298436987</v>
      </c>
      <c r="Y140" s="1">
        <v>25</v>
      </c>
      <c r="Z140" s="1">
        <v>4.1964706596873977</v>
      </c>
      <c r="AA140" s="1">
        <v>145.1333333</v>
      </c>
      <c r="AB140" s="1">
        <v>11.572314049999999</v>
      </c>
      <c r="AC140" s="1">
        <v>15</v>
      </c>
      <c r="AD140" s="1">
        <v>2.9879586389999999</v>
      </c>
      <c r="AE140" s="1">
        <v>20.2</v>
      </c>
      <c r="AF140" s="1">
        <v>2.7044936150000001</v>
      </c>
      <c r="AG140" s="1">
        <v>15</v>
      </c>
      <c r="AH140" s="1">
        <v>0.69829724900000001</v>
      </c>
      <c r="AI140" s="1">
        <v>5.266666667</v>
      </c>
      <c r="AJ140" s="1">
        <v>1.4375905769999999</v>
      </c>
      <c r="AK140" s="1">
        <v>15</v>
      </c>
      <c r="AL140" s="1">
        <v>0.371184291</v>
      </c>
      <c r="AM140" s="1">
        <v>4.266666667</v>
      </c>
      <c r="AN140" s="1">
        <v>1.4375905769999999</v>
      </c>
      <c r="AO140" s="1">
        <v>15</v>
      </c>
      <c r="AP140" s="1">
        <v>0.371184291</v>
      </c>
      <c r="AQ140" s="1">
        <v>9.5333333329999999</v>
      </c>
      <c r="AR140" s="1">
        <v>2.8502297319999998</v>
      </c>
      <c r="AS140" s="1">
        <v>15</v>
      </c>
      <c r="AT140" s="1">
        <v>0.735926152</v>
      </c>
      <c r="AU140" s="1">
        <v>116</v>
      </c>
      <c r="AV140" s="1">
        <v>9.1998023690000004</v>
      </c>
      <c r="AW140" s="1">
        <v>15</v>
      </c>
      <c r="AX140" s="1">
        <v>1.9182914010000001</v>
      </c>
      <c r="AY140" s="1">
        <v>121.7826087</v>
      </c>
      <c r="AZ140" s="1">
        <v>5.443566025</v>
      </c>
      <c r="BA140" s="1">
        <v>15</v>
      </c>
      <c r="BB140" s="1">
        <v>1.1350619799999999</v>
      </c>
      <c r="BC140" s="1">
        <v>1.266666667</v>
      </c>
      <c r="BD140" s="1">
        <v>0.45773770800000002</v>
      </c>
      <c r="BE140" s="1">
        <v>15</v>
      </c>
      <c r="BF140" s="1">
        <v>0.118187368</v>
      </c>
      <c r="BG140" s="1">
        <v>1.153846154</v>
      </c>
      <c r="BH140" s="1">
        <v>0.37553380800000002</v>
      </c>
      <c r="BI140" s="1">
        <v>13</v>
      </c>
      <c r="BJ140" s="1">
        <v>0.104154339</v>
      </c>
      <c r="BK140" s="1">
        <v>368.63866658200004</v>
      </c>
      <c r="BL140" s="1">
        <v>29.393677686999997</v>
      </c>
      <c r="BM140" s="1">
        <v>15</v>
      </c>
      <c r="BN140" s="1">
        <v>7.5894149430599995</v>
      </c>
    </row>
    <row r="141" spans="1:66" ht="15.75" customHeight="1" x14ac:dyDescent="0.2">
      <c r="A141" s="1" t="s">
        <v>59</v>
      </c>
      <c r="B141" s="1" t="s">
        <v>67</v>
      </c>
      <c r="C141" s="1">
        <v>5.8828127439999998</v>
      </c>
      <c r="D141" s="1">
        <v>1.6376134689999999</v>
      </c>
      <c r="E141" s="1">
        <v>24</v>
      </c>
      <c r="F141" s="1">
        <v>0.33427644899999998</v>
      </c>
      <c r="G141" s="1">
        <v>-16.573820040000001</v>
      </c>
      <c r="H141" s="1">
        <v>32.450949250000001</v>
      </c>
      <c r="I141" s="1">
        <v>24</v>
      </c>
      <c r="J141" s="1">
        <v>6.6240222769999999</v>
      </c>
      <c r="K141" s="1">
        <v>12.115139348109951</v>
      </c>
      <c r="L141" s="1">
        <v>24.464731032468563</v>
      </c>
      <c r="M141" s="1">
        <v>24</v>
      </c>
      <c r="N141" s="1">
        <v>4.9938423103317549</v>
      </c>
      <c r="O141" s="1">
        <v>6.8833448830000004</v>
      </c>
      <c r="P141" s="1">
        <v>0.85843496900000005</v>
      </c>
      <c r="Q141" s="1">
        <v>24</v>
      </c>
      <c r="R141" s="1">
        <v>0.175227304</v>
      </c>
      <c r="S141" s="1">
        <v>-36.400365360000002</v>
      </c>
      <c r="T141" s="1">
        <v>17.01074775</v>
      </c>
      <c r="U141" s="1">
        <v>24</v>
      </c>
      <c r="V141" s="1">
        <v>3.4723043439999999</v>
      </c>
      <c r="W141" s="1">
        <v>-2.832068974800094</v>
      </c>
      <c r="X141" s="1">
        <v>12.824381965284811</v>
      </c>
      <c r="Y141" s="1">
        <v>24</v>
      </c>
      <c r="Z141" s="1">
        <v>2.6177660067915602</v>
      </c>
      <c r="AA141" s="1">
        <v>96.053571430000005</v>
      </c>
      <c r="AB141" s="1">
        <v>18.688277530000001</v>
      </c>
      <c r="AC141" s="1">
        <v>14</v>
      </c>
      <c r="AD141" s="1">
        <v>4.9946522619999998</v>
      </c>
      <c r="AE141" s="1">
        <v>16</v>
      </c>
      <c r="AF141" s="1">
        <v>1.709700829</v>
      </c>
      <c r="AG141" s="1">
        <v>14</v>
      </c>
      <c r="AH141" s="1">
        <v>0.45693676700000002</v>
      </c>
      <c r="AI141" s="1">
        <v>3.8571428569999999</v>
      </c>
      <c r="AJ141" s="1">
        <v>1.3506205330000001</v>
      </c>
      <c r="AK141" s="1">
        <v>14</v>
      </c>
      <c r="AL141" s="1">
        <v>0.36096852099999999</v>
      </c>
      <c r="AM141" s="1">
        <v>3.2142857139999998</v>
      </c>
      <c r="AN141" s="1">
        <v>1.1883130529999999</v>
      </c>
      <c r="AO141" s="1">
        <v>14</v>
      </c>
      <c r="AP141" s="1">
        <v>0.31759002200000003</v>
      </c>
      <c r="AQ141" s="1">
        <v>7.0714285710000002</v>
      </c>
      <c r="AR141" s="1">
        <v>2.4950500450000002</v>
      </c>
      <c r="AS141" s="1">
        <v>14</v>
      </c>
      <c r="AT141" s="1">
        <v>0.666830174</v>
      </c>
      <c r="AU141" s="1">
        <v>103.5217391</v>
      </c>
      <c r="AV141" s="1">
        <v>6.9861523109999997</v>
      </c>
      <c r="AW141" s="1">
        <v>14</v>
      </c>
      <c r="AX141" s="1">
        <v>1.4567134559999999</v>
      </c>
      <c r="AY141" s="1">
        <v>108.0869565</v>
      </c>
      <c r="AZ141" s="1">
        <v>6.7750413849999997</v>
      </c>
      <c r="BA141" s="1">
        <v>14</v>
      </c>
      <c r="BB141" s="1">
        <v>1.4126937850000001</v>
      </c>
      <c r="BC141" s="1">
        <v>1.611111111</v>
      </c>
      <c r="BD141" s="1">
        <v>0.50163132600000004</v>
      </c>
      <c r="BE141" s="1">
        <v>18</v>
      </c>
      <c r="BF141" s="1">
        <v>0.118235637</v>
      </c>
      <c r="BG141" s="1">
        <v>1.6470588239999999</v>
      </c>
      <c r="BH141" s="1">
        <v>0.49259218300000002</v>
      </c>
      <c r="BI141" s="1">
        <v>17</v>
      </c>
      <c r="BJ141" s="1">
        <v>0.119471153</v>
      </c>
      <c r="BK141" s="1">
        <v>243.97607143220003</v>
      </c>
      <c r="BL141" s="1">
        <v>47.468224926200001</v>
      </c>
      <c r="BM141" s="1">
        <v>14</v>
      </c>
      <c r="BN141" s="1">
        <v>12.686416745479999</v>
      </c>
    </row>
    <row r="142" spans="1:66" ht="15.75" customHeight="1" x14ac:dyDescent="0.2">
      <c r="A142" s="1" t="s">
        <v>59</v>
      </c>
      <c r="B142" s="1" t="s">
        <v>111</v>
      </c>
      <c r="C142" s="1">
        <v>7.582375495</v>
      </c>
      <c r="D142" s="1">
        <v>1.381495288</v>
      </c>
      <c r="E142" s="1">
        <v>14</v>
      </c>
      <c r="F142" s="1">
        <v>0.36922014600000003</v>
      </c>
      <c r="G142" s="1">
        <v>-50.252356310000003</v>
      </c>
      <c r="H142" s="1">
        <v>27.375711259999999</v>
      </c>
      <c r="I142" s="1">
        <v>14</v>
      </c>
      <c r="J142" s="1">
        <v>7.3164665910000002</v>
      </c>
      <c r="K142" s="1">
        <v>-13.275068041076464</v>
      </c>
      <c r="L142" s="1">
        <v>20.638515311184335</v>
      </c>
      <c r="M142" s="1">
        <v>14</v>
      </c>
      <c r="N142" s="1">
        <v>5.5158752332957111</v>
      </c>
      <c r="O142" s="1">
        <v>8.4136483749999993</v>
      </c>
      <c r="P142" s="1">
        <v>1.7313535330000001</v>
      </c>
      <c r="Q142" s="1">
        <v>14</v>
      </c>
      <c r="R142" s="1">
        <v>0.46272369499999999</v>
      </c>
      <c r="S142" s="1">
        <v>-66.724860059999997</v>
      </c>
      <c r="T142" s="1">
        <v>34.308502400000002</v>
      </c>
      <c r="U142" s="1">
        <v>14</v>
      </c>
      <c r="V142" s="1">
        <v>9.1693329590000001</v>
      </c>
      <c r="W142" s="1">
        <v>-25.693668516369318</v>
      </c>
      <c r="X142" s="1">
        <v>25.865138086457417</v>
      </c>
      <c r="Y142" s="1">
        <v>14</v>
      </c>
      <c r="Z142" s="1">
        <v>6.9127489272229576</v>
      </c>
      <c r="AA142" s="1">
        <v>137.4</v>
      </c>
      <c r="AB142" s="1">
        <v>18.434267609999999</v>
      </c>
      <c r="AC142" s="1">
        <v>10</v>
      </c>
      <c r="AD142" s="1">
        <v>5.8294272640000004</v>
      </c>
      <c r="AE142" s="1">
        <v>21.7</v>
      </c>
      <c r="AF142" s="1">
        <v>1.6363916940000001</v>
      </c>
      <c r="AG142" s="1">
        <v>10</v>
      </c>
      <c r="AH142" s="1">
        <v>0.51747248999999995</v>
      </c>
      <c r="AI142" s="1">
        <v>6.3</v>
      </c>
      <c r="AJ142" s="1">
        <v>0.94868329799999995</v>
      </c>
      <c r="AK142" s="1">
        <v>10</v>
      </c>
      <c r="AL142" s="1">
        <v>0.3</v>
      </c>
      <c r="AM142" s="1">
        <v>5.2</v>
      </c>
      <c r="AN142" s="1">
        <v>0.78881063799999995</v>
      </c>
      <c r="AO142" s="1">
        <v>10</v>
      </c>
      <c r="AP142" s="1">
        <v>0.24944382600000001</v>
      </c>
      <c r="AQ142" s="1">
        <v>11.5</v>
      </c>
      <c r="AR142" s="1">
        <v>1.715938357</v>
      </c>
      <c r="AS142" s="1">
        <v>10</v>
      </c>
      <c r="AT142" s="1">
        <v>0.54262735299999998</v>
      </c>
      <c r="AU142" s="1">
        <v>117.4</v>
      </c>
      <c r="AV142" s="1">
        <v>6.4325560839999998</v>
      </c>
      <c r="AW142" s="1">
        <v>10</v>
      </c>
      <c r="AX142" s="1">
        <v>2.03415284</v>
      </c>
      <c r="AY142" s="1">
        <v>122.3</v>
      </c>
      <c r="AZ142" s="1">
        <v>6.1291652499999998</v>
      </c>
      <c r="BA142" s="1">
        <v>10</v>
      </c>
      <c r="BB142" s="1">
        <v>1.9382122349999999</v>
      </c>
      <c r="BC142" s="1">
        <v>1.375</v>
      </c>
      <c r="BD142" s="1">
        <v>0.74402380899999998</v>
      </c>
      <c r="BE142" s="1">
        <v>8</v>
      </c>
      <c r="BF142" s="1">
        <v>0.26305213999999999</v>
      </c>
      <c r="BG142" s="1">
        <v>1</v>
      </c>
      <c r="BH142" s="1">
        <v>0</v>
      </c>
      <c r="BI142" s="1">
        <v>5</v>
      </c>
      <c r="BJ142" s="1">
        <v>0</v>
      </c>
      <c r="BK142" s="1">
        <v>348.99600000000004</v>
      </c>
      <c r="BL142" s="1">
        <v>46.823039729400001</v>
      </c>
      <c r="BM142" s="1">
        <v>10</v>
      </c>
      <c r="BN142" s="1">
        <v>14.806745250560001</v>
      </c>
    </row>
    <row r="143" spans="1:66" ht="15.75" customHeight="1" x14ac:dyDescent="0.2"/>
    <row r="144" spans="1:66" ht="15.75" customHeight="1" x14ac:dyDescent="0.2">
      <c r="A144" s="1" t="s">
        <v>73</v>
      </c>
      <c r="B144" s="1" t="s">
        <v>74</v>
      </c>
      <c r="C144" s="2">
        <v>1.4065445453001775</v>
      </c>
      <c r="D144" s="3">
        <v>1.6790198759508861</v>
      </c>
      <c r="E144" s="4">
        <v>25</v>
      </c>
      <c r="F144" s="3">
        <v>0.33580397519017724</v>
      </c>
      <c r="G144" s="2">
        <v>72.127912643269113</v>
      </c>
      <c r="H144" s="3">
        <v>33.271458634254039</v>
      </c>
      <c r="I144" s="4">
        <v>25</v>
      </c>
      <c r="J144" s="3">
        <v>6.6542917268508077</v>
      </c>
      <c r="K144" s="2">
        <v>78.987267358946255</v>
      </c>
      <c r="L144" s="3">
        <v>25.083312057380848</v>
      </c>
      <c r="M144" s="4">
        <v>25</v>
      </c>
      <c r="N144" s="3">
        <v>5.0166624114761698</v>
      </c>
      <c r="O144" s="5">
        <v>3.091878983</v>
      </c>
      <c r="P144" s="5">
        <v>1.6789354089999999</v>
      </c>
      <c r="Q144" s="4">
        <v>27</v>
      </c>
      <c r="R144" s="5">
        <v>0.32311127000000001</v>
      </c>
      <c r="S144" s="5">
        <v>38.731324649999998</v>
      </c>
      <c r="T144" s="5">
        <v>33.269784850000001</v>
      </c>
      <c r="U144" s="4">
        <v>27</v>
      </c>
      <c r="V144" s="5">
        <v>6.4027730790000001</v>
      </c>
      <c r="W144" s="2">
        <v>54.014941729014147</v>
      </c>
      <c r="X144" s="3">
        <v>25.455035345607168</v>
      </c>
      <c r="Y144" s="4">
        <v>25</v>
      </c>
      <c r="Z144" s="3">
        <v>5.0910070691214333</v>
      </c>
      <c r="AA144" s="1">
        <v>118.9</v>
      </c>
      <c r="AB144" s="1">
        <v>14.01</v>
      </c>
      <c r="AC144" s="4">
        <v>15</v>
      </c>
      <c r="AD144" s="1">
        <v>3.62</v>
      </c>
      <c r="AE144" s="1">
        <v>23.93</v>
      </c>
      <c r="AF144" s="1">
        <v>2.4900000000000002</v>
      </c>
      <c r="AG144" s="4">
        <v>15</v>
      </c>
      <c r="AH144" s="1">
        <v>0.64</v>
      </c>
      <c r="AI144" s="1">
        <v>4.07</v>
      </c>
      <c r="AJ144" s="1">
        <v>1.87</v>
      </c>
      <c r="AK144" s="4">
        <v>15</v>
      </c>
      <c r="AL144" s="1">
        <v>0.48</v>
      </c>
      <c r="AM144" s="1">
        <v>3.2</v>
      </c>
      <c r="AN144" s="1">
        <v>1.78</v>
      </c>
      <c r="AO144" s="4">
        <v>15</v>
      </c>
      <c r="AP144" s="1">
        <v>0.46</v>
      </c>
      <c r="AQ144" s="1">
        <v>7.27</v>
      </c>
      <c r="AR144" s="1">
        <v>3.63</v>
      </c>
      <c r="AS144" s="4">
        <v>15</v>
      </c>
      <c r="AT144" s="1">
        <v>0.94</v>
      </c>
      <c r="AU144" s="1">
        <v>115.44</v>
      </c>
      <c r="AV144" s="1">
        <v>5.69</v>
      </c>
      <c r="AW144" s="4">
        <v>25</v>
      </c>
      <c r="AX144" s="1">
        <v>1.1399999999999999</v>
      </c>
      <c r="AY144" s="1">
        <v>124.68</v>
      </c>
      <c r="AZ144" s="1">
        <v>6.48</v>
      </c>
      <c r="BA144" s="4">
        <v>25</v>
      </c>
      <c r="BB144" s="1">
        <v>1.3</v>
      </c>
      <c r="BC144" s="1" t="s">
        <v>56</v>
      </c>
      <c r="BD144" s="1" t="s">
        <v>56</v>
      </c>
      <c r="BE144" s="4">
        <v>0</v>
      </c>
      <c r="BF144" s="1" t="s">
        <v>56</v>
      </c>
      <c r="BG144" s="1" t="s">
        <v>56</v>
      </c>
      <c r="BH144" s="1" t="s">
        <v>56</v>
      </c>
      <c r="BI144" s="4">
        <v>0</v>
      </c>
      <c r="BJ144" s="1" t="s">
        <v>56</v>
      </c>
      <c r="BK144" s="1">
        <v>302.01</v>
      </c>
      <c r="BL144" s="1">
        <v>35.58</v>
      </c>
      <c r="BM144" s="4">
        <v>15</v>
      </c>
      <c r="BN144" s="1">
        <v>9.19</v>
      </c>
    </row>
    <row r="145" spans="1:66" ht="15.75" customHeight="1" x14ac:dyDescent="0.2">
      <c r="A145" s="1" t="s">
        <v>73</v>
      </c>
      <c r="B145" s="1" t="s">
        <v>75</v>
      </c>
      <c r="C145" s="2">
        <v>2.6303123928988534</v>
      </c>
      <c r="D145" s="3">
        <v>0.93576641161716212</v>
      </c>
      <c r="E145" s="4">
        <v>7</v>
      </c>
      <c r="F145" s="3">
        <v>0.3536864586266163</v>
      </c>
      <c r="G145" s="2">
        <v>47.877728412275289</v>
      </c>
      <c r="H145" s="3">
        <v>18.543147643092862</v>
      </c>
      <c r="I145" s="4">
        <v>7</v>
      </c>
      <c r="J145" s="3">
        <v>7.0086510268538875</v>
      </c>
      <c r="K145" s="2">
        <v>60.705083063943434</v>
      </c>
      <c r="L145" s="3">
        <v>13.979656376679706</v>
      </c>
      <c r="M145" s="4">
        <v>7</v>
      </c>
      <c r="N145" s="3">
        <v>5.2838134552618277</v>
      </c>
      <c r="O145" s="5">
        <v>3.792712146</v>
      </c>
      <c r="P145" s="5">
        <v>2.541349104</v>
      </c>
      <c r="Q145" s="4">
        <v>7</v>
      </c>
      <c r="R145" s="5">
        <v>0.96053967500000004</v>
      </c>
      <c r="S145" s="5">
        <v>24.843614370000001</v>
      </c>
      <c r="T145" s="5">
        <v>50.359375020000002</v>
      </c>
      <c r="U145" s="4">
        <v>7</v>
      </c>
      <c r="V145" s="5">
        <v>19.034054640000001</v>
      </c>
      <c r="W145" s="2">
        <v>38.916380972166621</v>
      </c>
      <c r="X145" s="3">
        <v>39.564341344192705</v>
      </c>
      <c r="Y145" s="4">
        <v>6</v>
      </c>
      <c r="Z145" s="3">
        <v>16.15207471709541</v>
      </c>
      <c r="AA145" s="1">
        <v>55.96</v>
      </c>
      <c r="AB145" s="1">
        <v>9.5500000000000007</v>
      </c>
      <c r="AC145" s="4">
        <v>6</v>
      </c>
      <c r="AD145" s="1">
        <v>3.9</v>
      </c>
      <c r="AE145" s="1">
        <v>20.67</v>
      </c>
      <c r="AF145" s="1">
        <v>3.01</v>
      </c>
      <c r="AG145" s="4">
        <v>6</v>
      </c>
      <c r="AH145" s="1">
        <v>1.23</v>
      </c>
      <c r="AI145" s="1">
        <v>6.5</v>
      </c>
      <c r="AJ145" s="1">
        <v>1.05</v>
      </c>
      <c r="AK145" s="4">
        <v>6</v>
      </c>
      <c r="AL145" s="1">
        <v>0.43</v>
      </c>
      <c r="AM145" s="1">
        <v>5.33</v>
      </c>
      <c r="AN145" s="1">
        <v>1.51</v>
      </c>
      <c r="AO145" s="4">
        <v>6</v>
      </c>
      <c r="AP145" s="1">
        <v>0.61</v>
      </c>
      <c r="AQ145" s="1">
        <v>11.83</v>
      </c>
      <c r="AR145" s="1">
        <v>2.48</v>
      </c>
      <c r="AS145" s="4">
        <v>6</v>
      </c>
      <c r="AT145" s="1">
        <v>1.01</v>
      </c>
      <c r="AU145" s="1">
        <v>130</v>
      </c>
      <c r="AV145" s="1">
        <v>0</v>
      </c>
      <c r="AW145" s="4">
        <v>2</v>
      </c>
      <c r="AX145" s="7" t="s">
        <v>56</v>
      </c>
      <c r="AY145" s="1" t="s">
        <v>56</v>
      </c>
      <c r="AZ145" s="1" t="s">
        <v>56</v>
      </c>
      <c r="BA145" s="8" t="s">
        <v>56</v>
      </c>
      <c r="BB145" s="1" t="s">
        <v>56</v>
      </c>
      <c r="BC145" s="1" t="s">
        <v>56</v>
      </c>
      <c r="BD145" s="1" t="s">
        <v>56</v>
      </c>
      <c r="BE145" s="4">
        <v>0</v>
      </c>
      <c r="BF145" s="1" t="s">
        <v>56</v>
      </c>
      <c r="BG145" s="1" t="s">
        <v>56</v>
      </c>
      <c r="BH145" s="1" t="s">
        <v>56</v>
      </c>
      <c r="BI145" s="4">
        <v>0</v>
      </c>
      <c r="BJ145" s="1" t="s">
        <v>56</v>
      </c>
      <c r="BK145" s="1">
        <v>142.13</v>
      </c>
      <c r="BL145" s="1">
        <v>24.26</v>
      </c>
      <c r="BM145" s="4">
        <v>6</v>
      </c>
      <c r="BN145" s="1">
        <v>9.9</v>
      </c>
    </row>
    <row r="146" spans="1:66" ht="15.75" customHeight="1" x14ac:dyDescent="0.2">
      <c r="A146" s="1" t="s">
        <v>73</v>
      </c>
      <c r="B146" s="1" t="s">
        <v>76</v>
      </c>
      <c r="C146" s="1">
        <v>3.3</v>
      </c>
      <c r="D146" s="1">
        <v>1.06</v>
      </c>
      <c r="E146" s="4">
        <v>24</v>
      </c>
      <c r="F146" s="1">
        <v>0.22</v>
      </c>
      <c r="G146" s="1">
        <v>34.58</v>
      </c>
      <c r="H146" s="1">
        <v>21.04</v>
      </c>
      <c r="I146" s="4">
        <v>24</v>
      </c>
      <c r="J146" s="1">
        <v>4.3</v>
      </c>
      <c r="K146" s="1">
        <v>50.68</v>
      </c>
      <c r="L146" s="1">
        <v>15.87</v>
      </c>
      <c r="M146" s="4">
        <v>24</v>
      </c>
      <c r="N146" s="1">
        <v>3.24</v>
      </c>
      <c r="O146" s="5">
        <v>3.719335761</v>
      </c>
      <c r="P146" s="5">
        <v>2.189853136</v>
      </c>
      <c r="Q146" s="4">
        <v>34</v>
      </c>
      <c r="R146" s="5">
        <v>0.37555671499999999</v>
      </c>
      <c r="S146" s="5">
        <v>26.297640850000001</v>
      </c>
      <c r="T146" s="5">
        <v>43.394130760000003</v>
      </c>
      <c r="U146" s="4">
        <v>34</v>
      </c>
      <c r="V146" s="5">
        <v>7.4420320279999999</v>
      </c>
      <c r="W146" s="2">
        <v>36.495806270605875</v>
      </c>
      <c r="X146" s="3">
        <v>34.109914267062159</v>
      </c>
      <c r="Y146" s="4">
        <v>24</v>
      </c>
      <c r="Z146" s="3">
        <v>6.962657093698529</v>
      </c>
      <c r="AA146" s="1">
        <v>75.37</v>
      </c>
      <c r="AB146" s="1">
        <v>12.92</v>
      </c>
      <c r="AC146" s="4">
        <v>15</v>
      </c>
      <c r="AD146" s="1">
        <v>3.34</v>
      </c>
      <c r="AE146" s="1">
        <v>19.73</v>
      </c>
      <c r="AF146" s="1">
        <v>3.45</v>
      </c>
      <c r="AG146" s="4">
        <v>15</v>
      </c>
      <c r="AH146" s="1">
        <v>0.89</v>
      </c>
      <c r="AI146" s="1">
        <v>3.13</v>
      </c>
      <c r="AJ146" s="1">
        <v>1.1299999999999999</v>
      </c>
      <c r="AK146" s="4">
        <v>15</v>
      </c>
      <c r="AL146" s="1">
        <v>0.28999999999999998</v>
      </c>
      <c r="AM146" s="1">
        <v>2.13</v>
      </c>
      <c r="AN146" s="1">
        <v>1.1299999999999999</v>
      </c>
      <c r="AO146" s="4">
        <v>15</v>
      </c>
      <c r="AP146" s="1">
        <v>0.28999999999999998</v>
      </c>
      <c r="AQ146" s="1">
        <v>5.27</v>
      </c>
      <c r="AR146" s="1">
        <v>2.25</v>
      </c>
      <c r="AS146" s="4">
        <v>15</v>
      </c>
      <c r="AT146" s="1">
        <v>0.57999999999999996</v>
      </c>
      <c r="AU146" s="7" t="s">
        <v>56</v>
      </c>
      <c r="AV146" s="7" t="s">
        <v>56</v>
      </c>
      <c r="AW146" s="8" t="s">
        <v>56</v>
      </c>
      <c r="AX146" s="7" t="s">
        <v>56</v>
      </c>
      <c r="AY146" s="1" t="s">
        <v>56</v>
      </c>
      <c r="AZ146" s="1" t="s">
        <v>56</v>
      </c>
      <c r="BA146" s="8" t="s">
        <v>56</v>
      </c>
      <c r="BB146" s="1" t="s">
        <v>56</v>
      </c>
      <c r="BC146" s="1" t="s">
        <v>56</v>
      </c>
      <c r="BD146" s="1" t="s">
        <v>56</v>
      </c>
      <c r="BE146" s="4">
        <v>0</v>
      </c>
      <c r="BF146" s="1" t="s">
        <v>56</v>
      </c>
      <c r="BG146" s="1" t="s">
        <v>56</v>
      </c>
      <c r="BH146" s="1" t="s">
        <v>56</v>
      </c>
      <c r="BI146" s="4">
        <v>0</v>
      </c>
      <c r="BJ146" s="1" t="s">
        <v>56</v>
      </c>
      <c r="BK146" s="1">
        <v>191.43</v>
      </c>
      <c r="BL146" s="1">
        <v>32.81</v>
      </c>
      <c r="BM146" s="4">
        <v>15</v>
      </c>
      <c r="BN146" s="1">
        <v>8.4700000000000006</v>
      </c>
    </row>
    <row r="147" spans="1:66" ht="15.75" customHeight="1" x14ac:dyDescent="0.2"/>
    <row r="148" spans="1:66" ht="15.75" customHeight="1" x14ac:dyDescent="0.2">
      <c r="A148" s="1" t="s">
        <v>77</v>
      </c>
      <c r="B148" s="1" t="s">
        <v>78</v>
      </c>
      <c r="C148" s="1">
        <v>4.5755428800000004</v>
      </c>
      <c r="D148" s="1">
        <v>0.92501614600000004</v>
      </c>
      <c r="E148" s="1">
        <v>22</v>
      </c>
      <c r="F148" s="1">
        <v>0.197214105</v>
      </c>
      <c r="G148" s="1">
        <v>9.3310401929999998</v>
      </c>
      <c r="H148" s="1">
        <v>18.33012038</v>
      </c>
      <c r="I148" s="1">
        <v>22</v>
      </c>
      <c r="J148" s="1">
        <v>3.9079947970000002</v>
      </c>
      <c r="K148" s="1">
        <v>31.644781860792701</v>
      </c>
      <c r="L148" s="1">
        <v>13.819055386317824</v>
      </c>
      <c r="M148" s="1">
        <v>22</v>
      </c>
      <c r="N148" s="1">
        <v>2.9462325077208171</v>
      </c>
      <c r="O148" s="1" t="s">
        <v>56</v>
      </c>
      <c r="P148" s="1" t="s">
        <v>56</v>
      </c>
      <c r="Q148" s="1">
        <v>0</v>
      </c>
      <c r="R148" s="1" t="s">
        <v>56</v>
      </c>
      <c r="S148" s="1" t="s">
        <v>56</v>
      </c>
      <c r="T148" s="1" t="s">
        <v>56</v>
      </c>
      <c r="U148" s="1">
        <v>0</v>
      </c>
      <c r="V148" s="1" t="s">
        <v>56</v>
      </c>
      <c r="W148" s="1" t="s">
        <v>56</v>
      </c>
      <c r="X148" s="1" t="s">
        <v>56</v>
      </c>
      <c r="Y148" s="1" t="s">
        <v>56</v>
      </c>
      <c r="Z148" s="1" t="s">
        <v>56</v>
      </c>
      <c r="AA148" s="1">
        <v>52.803571429999998</v>
      </c>
      <c r="AB148" s="1">
        <v>6.2320346190000002</v>
      </c>
      <c r="AC148" s="1">
        <v>14</v>
      </c>
      <c r="AD148" s="1">
        <v>1.665581312</v>
      </c>
      <c r="AE148" s="1">
        <v>11.14285714</v>
      </c>
      <c r="AF148" s="1">
        <v>1.0271051819999999</v>
      </c>
      <c r="AG148" s="1">
        <v>14</v>
      </c>
      <c r="AH148" s="1">
        <v>0.27450540699999998</v>
      </c>
      <c r="AI148" s="1">
        <v>1.571428571</v>
      </c>
      <c r="AJ148" s="1">
        <v>0.64620617300000005</v>
      </c>
      <c r="AK148" s="1">
        <v>14</v>
      </c>
      <c r="AL148" s="1">
        <v>0.17270586399999999</v>
      </c>
      <c r="AM148" s="1">
        <v>1.1428571430000001</v>
      </c>
      <c r="AN148" s="1">
        <v>0.53452248400000002</v>
      </c>
      <c r="AO148" s="1">
        <v>14</v>
      </c>
      <c r="AP148" s="1">
        <v>0.14285714299999999</v>
      </c>
      <c r="AQ148" s="1">
        <v>2.7142857139999998</v>
      </c>
      <c r="AR148" s="1">
        <v>1.069044968</v>
      </c>
      <c r="AS148" s="1">
        <v>14</v>
      </c>
      <c r="AT148" s="1">
        <v>0.28571428599999998</v>
      </c>
      <c r="AU148" s="1">
        <v>74.636363639999999</v>
      </c>
      <c r="AV148" s="1">
        <v>2.0597146020000001</v>
      </c>
      <c r="AW148" s="1">
        <v>14</v>
      </c>
      <c r="AX148" s="1">
        <v>0.439132629</v>
      </c>
      <c r="AY148" s="1">
        <v>80.045454550000002</v>
      </c>
      <c r="AZ148" s="1">
        <v>3.2729377039999998</v>
      </c>
      <c r="BA148" s="1">
        <v>14</v>
      </c>
      <c r="BB148" s="1">
        <v>0.69779266299999998</v>
      </c>
      <c r="BC148" s="1">
        <v>1.636363636</v>
      </c>
      <c r="BD148" s="1">
        <v>0.58108720300000005</v>
      </c>
      <c r="BE148" s="1">
        <v>22</v>
      </c>
      <c r="BF148" s="1">
        <v>0.123888208</v>
      </c>
      <c r="BG148" s="1">
        <v>1.25</v>
      </c>
      <c r="BH148" s="1">
        <v>0.444261658</v>
      </c>
      <c r="BI148" s="1">
        <v>20</v>
      </c>
      <c r="BJ148" s="1">
        <v>9.9339926999999995E-2</v>
      </c>
      <c r="BK148" s="1">
        <v>134.12107143219998</v>
      </c>
      <c r="BL148" s="1">
        <v>15.82936793226</v>
      </c>
      <c r="BM148" s="1">
        <v>14</v>
      </c>
      <c r="BN148" s="1">
        <v>4.2305765324799998</v>
      </c>
    </row>
    <row r="149" spans="1:66" ht="15.75" customHeight="1" x14ac:dyDescent="0.2">
      <c r="A149" s="1" t="s">
        <v>77</v>
      </c>
      <c r="B149" s="1" t="s">
        <v>80</v>
      </c>
      <c r="C149" s="1">
        <v>6.6937726250000003</v>
      </c>
      <c r="D149" s="1">
        <v>1.935338228</v>
      </c>
      <c r="E149" s="1">
        <v>27</v>
      </c>
      <c r="F149" s="1">
        <v>0.372456016</v>
      </c>
      <c r="G149" s="1">
        <v>-32.643801420000003</v>
      </c>
      <c r="H149" s="1">
        <v>38.35066321</v>
      </c>
      <c r="I149" s="1">
        <v>27</v>
      </c>
      <c r="J149" s="1">
        <v>7.3805885770000002</v>
      </c>
      <c r="K149" s="1">
        <v>-1.8421478334521116E-14</v>
      </c>
      <c r="L149" s="1">
        <v>28.912518190200533</v>
      </c>
      <c r="M149" s="1">
        <v>27</v>
      </c>
      <c r="N149" s="1">
        <v>5.5642167200207426</v>
      </c>
      <c r="O149" s="1" t="s">
        <v>56</v>
      </c>
      <c r="P149" s="1" t="s">
        <v>56</v>
      </c>
      <c r="Q149" s="1">
        <v>0</v>
      </c>
      <c r="R149" s="1" t="s">
        <v>56</v>
      </c>
      <c r="S149" s="1" t="s">
        <v>56</v>
      </c>
      <c r="T149" s="1" t="s">
        <v>56</v>
      </c>
      <c r="U149" s="1">
        <v>0</v>
      </c>
      <c r="V149" s="1" t="s">
        <v>56</v>
      </c>
      <c r="W149" s="1" t="s">
        <v>56</v>
      </c>
      <c r="X149" s="1" t="s">
        <v>56</v>
      </c>
      <c r="Y149" s="1" t="s">
        <v>56</v>
      </c>
      <c r="Z149" s="1" t="s">
        <v>56</v>
      </c>
      <c r="AA149" s="1">
        <v>47.803571429999998</v>
      </c>
      <c r="AB149" s="1">
        <v>7.2138878960000001</v>
      </c>
      <c r="AC149" s="1">
        <v>14</v>
      </c>
      <c r="AD149" s="1">
        <v>1.9279926380000001</v>
      </c>
      <c r="AE149" s="1">
        <v>12.21428571</v>
      </c>
      <c r="AF149" s="1">
        <v>1.1883130529999999</v>
      </c>
      <c r="AG149" s="1">
        <v>14</v>
      </c>
      <c r="AH149" s="1">
        <v>0.31759002200000003</v>
      </c>
      <c r="AI149" s="1">
        <v>2.5</v>
      </c>
      <c r="AJ149" s="1">
        <v>0.51887452199999995</v>
      </c>
      <c r="AK149" s="1">
        <v>14</v>
      </c>
      <c r="AL149" s="1">
        <v>0.13867504899999999</v>
      </c>
      <c r="AM149" s="1">
        <v>1.8571428569999999</v>
      </c>
      <c r="AN149" s="1">
        <v>0.36313652000000002</v>
      </c>
      <c r="AO149" s="1">
        <v>14</v>
      </c>
      <c r="AP149" s="1">
        <v>9.7052316999999999E-2</v>
      </c>
      <c r="AQ149" s="1">
        <v>4.3571428570000004</v>
      </c>
      <c r="AR149" s="1">
        <v>0.63332369399999999</v>
      </c>
      <c r="AS149" s="1">
        <v>14</v>
      </c>
      <c r="AT149" s="1">
        <v>0.16926287700000001</v>
      </c>
      <c r="AU149" s="1">
        <v>75.61538462</v>
      </c>
      <c r="AV149" s="1">
        <v>3.0076824709999999</v>
      </c>
      <c r="AW149" s="1">
        <v>14</v>
      </c>
      <c r="AX149" s="1">
        <v>0.58985506200000004</v>
      </c>
      <c r="AY149" s="1">
        <v>82.61538462</v>
      </c>
      <c r="AZ149" s="1">
        <v>4.5613763110000001</v>
      </c>
      <c r="BA149" s="1">
        <v>14</v>
      </c>
      <c r="BB149" s="1">
        <v>0.89455949300000004</v>
      </c>
      <c r="BC149" s="1">
        <v>1.307692308</v>
      </c>
      <c r="BD149" s="1">
        <v>0.47067872399999999</v>
      </c>
      <c r="BE149" s="1">
        <v>26</v>
      </c>
      <c r="BF149" s="1">
        <v>9.2307691999999997E-2</v>
      </c>
      <c r="BG149" s="1">
        <v>1.230769231</v>
      </c>
      <c r="BH149" s="1">
        <v>0.42966892400000001</v>
      </c>
      <c r="BI149" s="1">
        <v>26</v>
      </c>
      <c r="BJ149" s="1">
        <v>8.4265009000000002E-2</v>
      </c>
      <c r="BK149" s="1">
        <v>121.42107143219999</v>
      </c>
      <c r="BL149" s="1">
        <v>18.323275255840002</v>
      </c>
      <c r="BM149" s="1">
        <v>14</v>
      </c>
      <c r="BN149" s="1">
        <v>4.8971013005200001</v>
      </c>
    </row>
    <row r="150" spans="1:66" ht="15.75" customHeight="1" x14ac:dyDescent="0.2">
      <c r="A150" s="1" t="s">
        <v>77</v>
      </c>
      <c r="B150" s="1" t="s">
        <v>81</v>
      </c>
      <c r="C150" s="1">
        <v>8.3952478710000005</v>
      </c>
      <c r="D150" s="1">
        <v>1.2023989049999999</v>
      </c>
      <c r="E150" s="1">
        <v>28</v>
      </c>
      <c r="F150" s="1">
        <v>0.227232034</v>
      </c>
      <c r="G150" s="1">
        <v>-66.360235680000002</v>
      </c>
      <c r="H150" s="1">
        <v>23.826737250000001</v>
      </c>
      <c r="I150" s="1">
        <v>28</v>
      </c>
      <c r="J150" s="1">
        <v>4.5028300940000001</v>
      </c>
      <c r="K150" s="1">
        <v>-25.41877864027861</v>
      </c>
      <c r="L150" s="1">
        <v>17.962948133308821</v>
      </c>
      <c r="M150" s="1">
        <v>28</v>
      </c>
      <c r="N150" s="1">
        <v>3.3946781124490752</v>
      </c>
      <c r="O150" s="1" t="s">
        <v>56</v>
      </c>
      <c r="P150" s="1" t="s">
        <v>56</v>
      </c>
      <c r="Q150" s="1">
        <v>0</v>
      </c>
      <c r="R150" s="1" t="s">
        <v>56</v>
      </c>
      <c r="S150" s="1" t="s">
        <v>56</v>
      </c>
      <c r="T150" s="1" t="s">
        <v>56</v>
      </c>
      <c r="U150" s="1">
        <v>0</v>
      </c>
      <c r="V150" s="1" t="s">
        <v>56</v>
      </c>
      <c r="W150" s="1" t="s">
        <v>56</v>
      </c>
      <c r="X150" s="1" t="s">
        <v>56</v>
      </c>
      <c r="Y150" s="1" t="s">
        <v>56</v>
      </c>
      <c r="Z150" s="1" t="s">
        <v>56</v>
      </c>
      <c r="AA150" s="1">
        <v>63.266666669999999</v>
      </c>
      <c r="AB150" s="1">
        <v>13.18260036</v>
      </c>
      <c r="AC150" s="1">
        <v>15</v>
      </c>
      <c r="AD150" s="1">
        <v>3.4037327780000002</v>
      </c>
      <c r="AE150" s="1">
        <v>12.06666667</v>
      </c>
      <c r="AF150" s="1">
        <v>1.4375905769999999</v>
      </c>
      <c r="AG150" s="1">
        <v>15</v>
      </c>
      <c r="AH150" s="1">
        <v>0.371184291</v>
      </c>
      <c r="AI150" s="1">
        <v>1.6</v>
      </c>
      <c r="AJ150" s="1">
        <v>0.82807867099999999</v>
      </c>
      <c r="AK150" s="1">
        <v>15</v>
      </c>
      <c r="AL150" s="1">
        <v>0.213808994</v>
      </c>
      <c r="AM150" s="1">
        <v>0.86666666699999995</v>
      </c>
      <c r="AN150" s="1">
        <v>0.51639777899999995</v>
      </c>
      <c r="AO150" s="1">
        <v>15</v>
      </c>
      <c r="AP150" s="1">
        <v>0.133333333</v>
      </c>
      <c r="AQ150" s="1">
        <v>2.4666666670000001</v>
      </c>
      <c r="AR150" s="1">
        <v>1.187233679</v>
      </c>
      <c r="AS150" s="1">
        <v>15</v>
      </c>
      <c r="AT150" s="1">
        <v>0.30654241799999998</v>
      </c>
      <c r="AU150" s="1">
        <v>74.75</v>
      </c>
      <c r="AV150" s="1">
        <v>6.6923117860000003</v>
      </c>
      <c r="AW150" s="1">
        <v>15</v>
      </c>
      <c r="AX150" s="1">
        <v>1.2647280489999999</v>
      </c>
      <c r="AY150" s="1">
        <v>82</v>
      </c>
      <c r="AZ150" s="1">
        <v>5.6240225490000002</v>
      </c>
      <c r="BA150" s="1">
        <v>15</v>
      </c>
      <c r="BB150" s="1">
        <v>1.062840359</v>
      </c>
      <c r="BC150" s="1">
        <v>1.4814814810000001</v>
      </c>
      <c r="BD150" s="1">
        <v>0.57981232800000004</v>
      </c>
      <c r="BE150" s="1">
        <v>27</v>
      </c>
      <c r="BF150" s="1">
        <v>0.111584935</v>
      </c>
      <c r="BG150" s="1">
        <v>1.3703703700000001</v>
      </c>
      <c r="BH150" s="1">
        <v>0.49210287800000002</v>
      </c>
      <c r="BI150" s="1">
        <v>27</v>
      </c>
      <c r="BJ150" s="1">
        <v>9.4705242999999995E-2</v>
      </c>
      <c r="BK150" s="1">
        <v>160.6973333418</v>
      </c>
      <c r="BL150" s="1">
        <v>33.483804914400004</v>
      </c>
      <c r="BM150" s="1">
        <v>15</v>
      </c>
      <c r="BN150" s="1">
        <v>8.6454812561200001</v>
      </c>
    </row>
    <row r="151" spans="1:66" ht="15.75" customHeight="1" x14ac:dyDescent="0.2">
      <c r="A151" s="1" t="s">
        <v>77</v>
      </c>
      <c r="B151" s="1" t="s">
        <v>112</v>
      </c>
      <c r="C151" s="2">
        <v>10.335632250178005</v>
      </c>
      <c r="D151" s="3">
        <v>1.8870699751658897</v>
      </c>
      <c r="E151" s="1">
        <v>28</v>
      </c>
      <c r="F151" s="3">
        <v>0.3566227043475555</v>
      </c>
      <c r="G151" s="1" t="s">
        <v>56</v>
      </c>
      <c r="H151" s="1" t="s">
        <v>56</v>
      </c>
      <c r="I151" s="1">
        <v>0</v>
      </c>
      <c r="J151" s="1" t="s">
        <v>56</v>
      </c>
      <c r="K151" s="2">
        <v>-54.406682586006369</v>
      </c>
      <c r="L151" s="3">
        <v>28.191426283380416</v>
      </c>
      <c r="M151" s="1">
        <v>28</v>
      </c>
      <c r="N151" s="3">
        <v>5.3276787892881776</v>
      </c>
      <c r="O151" s="1" t="s">
        <v>56</v>
      </c>
      <c r="P151" s="1" t="s">
        <v>56</v>
      </c>
      <c r="Q151" s="1">
        <v>0</v>
      </c>
      <c r="R151" s="1" t="s">
        <v>56</v>
      </c>
      <c r="S151" s="1" t="s">
        <v>56</v>
      </c>
      <c r="T151" s="1" t="s">
        <v>56</v>
      </c>
      <c r="U151" s="1">
        <v>0</v>
      </c>
      <c r="V151" s="1" t="s">
        <v>56</v>
      </c>
      <c r="W151" s="1" t="s">
        <v>56</v>
      </c>
      <c r="X151" s="1" t="s">
        <v>56</v>
      </c>
      <c r="Y151" s="1" t="s">
        <v>56</v>
      </c>
      <c r="Z151" s="1" t="s">
        <v>56</v>
      </c>
      <c r="AA151" s="1">
        <v>70.13</v>
      </c>
      <c r="AB151" s="1">
        <v>6.24</v>
      </c>
      <c r="AC151" s="1">
        <v>15</v>
      </c>
      <c r="AD151" s="1">
        <v>1.61</v>
      </c>
      <c r="AE151" s="1">
        <v>12.73</v>
      </c>
      <c r="AF151" s="1">
        <v>1.03</v>
      </c>
      <c r="AG151" s="1">
        <v>15</v>
      </c>
      <c r="AH151" s="1">
        <v>0.27</v>
      </c>
      <c r="AI151" s="1">
        <v>1.8</v>
      </c>
      <c r="AJ151" s="1">
        <v>0.56000000000000005</v>
      </c>
      <c r="AK151" s="1">
        <v>15</v>
      </c>
      <c r="AL151" s="1">
        <v>0.14000000000000001</v>
      </c>
      <c r="AM151" s="1">
        <v>1.2</v>
      </c>
      <c r="AN151" s="1">
        <v>0.68</v>
      </c>
      <c r="AO151" s="1">
        <v>15</v>
      </c>
      <c r="AP151" s="1">
        <v>0.17</v>
      </c>
      <c r="AQ151" s="1">
        <v>3</v>
      </c>
      <c r="AR151" s="1">
        <v>1.07</v>
      </c>
      <c r="AS151" s="1">
        <v>15</v>
      </c>
      <c r="AT151" s="1">
        <v>0.28000000000000003</v>
      </c>
      <c r="AU151" s="1">
        <v>73.739999999999995</v>
      </c>
      <c r="AV151" s="1">
        <v>3.62</v>
      </c>
      <c r="AW151" s="1">
        <v>27</v>
      </c>
      <c r="AX151" s="1">
        <v>0.7</v>
      </c>
      <c r="AY151" s="1">
        <v>78.41</v>
      </c>
      <c r="AZ151" s="1">
        <v>3.44</v>
      </c>
      <c r="BA151" s="1">
        <v>27</v>
      </c>
      <c r="BB151" s="1">
        <v>0.66</v>
      </c>
      <c r="BC151" s="1">
        <v>1.44</v>
      </c>
      <c r="BD151" s="1">
        <v>0.51</v>
      </c>
      <c r="BE151" s="1">
        <v>27</v>
      </c>
      <c r="BF151" s="1">
        <v>0.1</v>
      </c>
      <c r="BG151" s="1">
        <v>1.37</v>
      </c>
      <c r="BH151" s="1">
        <v>0.49</v>
      </c>
      <c r="BI151" s="1">
        <v>27</v>
      </c>
      <c r="BJ151" s="1">
        <v>0.09</v>
      </c>
      <c r="BK151" s="1">
        <v>178.14</v>
      </c>
      <c r="BL151" s="1">
        <v>15.86</v>
      </c>
      <c r="BM151" s="1">
        <v>15</v>
      </c>
      <c r="BN151" s="1">
        <v>4.09</v>
      </c>
    </row>
    <row r="152" spans="1:66" ht="15.75" customHeight="1" x14ac:dyDescent="0.2">
      <c r="A152" s="1" t="s">
        <v>77</v>
      </c>
      <c r="B152" s="1" t="s">
        <v>113</v>
      </c>
      <c r="C152" s="2">
        <v>3.11560117475487</v>
      </c>
      <c r="D152" s="3">
        <v>1.1525672419972277</v>
      </c>
      <c r="E152" s="1">
        <v>26</v>
      </c>
      <c r="F152" s="3">
        <v>0.22603703298737238</v>
      </c>
      <c r="G152" s="1" t="s">
        <v>56</v>
      </c>
      <c r="H152" s="1" t="s">
        <v>56</v>
      </c>
      <c r="I152" s="1">
        <v>0</v>
      </c>
      <c r="J152" s="1" t="s">
        <v>56</v>
      </c>
      <c r="K152" s="2">
        <v>56.779855012140025</v>
      </c>
      <c r="L152" s="3">
        <v>20.579801439321059</v>
      </c>
      <c r="M152" s="1">
        <v>28</v>
      </c>
      <c r="N152" s="3">
        <v>3.88921690282376</v>
      </c>
      <c r="O152" s="1" t="s">
        <v>56</v>
      </c>
      <c r="P152" s="1" t="s">
        <v>56</v>
      </c>
      <c r="Q152" s="1">
        <v>0</v>
      </c>
      <c r="R152" s="1" t="s">
        <v>56</v>
      </c>
      <c r="S152" s="1" t="s">
        <v>56</v>
      </c>
      <c r="T152" s="1" t="s">
        <v>56</v>
      </c>
      <c r="U152" s="1">
        <v>0</v>
      </c>
      <c r="V152" s="1" t="s">
        <v>56</v>
      </c>
      <c r="W152" s="1" t="s">
        <v>56</v>
      </c>
      <c r="X152" s="1" t="s">
        <v>56</v>
      </c>
      <c r="Y152" s="1" t="s">
        <v>56</v>
      </c>
      <c r="Z152" s="1" t="s">
        <v>56</v>
      </c>
      <c r="AA152" s="1">
        <v>63.73</v>
      </c>
      <c r="AB152" s="1">
        <v>7.58</v>
      </c>
      <c r="AC152" s="1">
        <v>15</v>
      </c>
      <c r="AD152" s="1">
        <v>1.96</v>
      </c>
      <c r="AE152" s="1">
        <v>11.87</v>
      </c>
      <c r="AF152" s="1">
        <v>1.19</v>
      </c>
      <c r="AG152" s="1">
        <v>15</v>
      </c>
      <c r="AH152" s="1">
        <v>0.31</v>
      </c>
      <c r="AI152" s="1">
        <v>1.8</v>
      </c>
      <c r="AJ152" s="1">
        <v>1.26</v>
      </c>
      <c r="AK152" s="1">
        <v>15</v>
      </c>
      <c r="AL152" s="1">
        <v>0.33</v>
      </c>
      <c r="AM152" s="1">
        <v>0.93</v>
      </c>
      <c r="AN152" s="1">
        <v>0.26</v>
      </c>
      <c r="AO152" s="1">
        <v>15</v>
      </c>
      <c r="AP152" s="1">
        <v>7.0000000000000007E-2</v>
      </c>
      <c r="AQ152" s="1">
        <v>2.73</v>
      </c>
      <c r="AR152" s="1">
        <v>1.33</v>
      </c>
      <c r="AS152" s="1">
        <v>15</v>
      </c>
      <c r="AT152" s="1">
        <v>0.34</v>
      </c>
      <c r="AU152" s="1">
        <v>72.92</v>
      </c>
      <c r="AV152" s="1">
        <v>5.49</v>
      </c>
      <c r="AW152" s="1">
        <v>26</v>
      </c>
      <c r="AX152" s="1">
        <v>1.08</v>
      </c>
      <c r="AY152" s="1">
        <v>76.8</v>
      </c>
      <c r="AZ152" s="1">
        <v>3.5</v>
      </c>
      <c r="BA152" s="1">
        <v>25</v>
      </c>
      <c r="BB152" s="1">
        <v>0.7</v>
      </c>
      <c r="BC152" s="1">
        <v>1.73</v>
      </c>
      <c r="BD152" s="1">
        <v>0.53</v>
      </c>
      <c r="BE152" s="1">
        <v>26</v>
      </c>
      <c r="BF152" s="1">
        <v>0.1</v>
      </c>
      <c r="BG152" s="1">
        <v>1.31</v>
      </c>
      <c r="BH152" s="1">
        <v>0.47</v>
      </c>
      <c r="BI152" s="1">
        <v>26</v>
      </c>
      <c r="BJ152" s="1">
        <v>0.09</v>
      </c>
      <c r="BK152" s="1">
        <v>161.88</v>
      </c>
      <c r="BL152" s="1">
        <v>19.260000000000002</v>
      </c>
      <c r="BM152" s="1">
        <v>15</v>
      </c>
      <c r="BN152" s="1">
        <v>4.97</v>
      </c>
    </row>
    <row r="153" spans="1:66" ht="15.75" customHeight="1" x14ac:dyDescent="0.2">
      <c r="A153" s="1" t="s">
        <v>77</v>
      </c>
      <c r="B153" s="1" t="s">
        <v>114</v>
      </c>
      <c r="C153" s="2">
        <v>7.7224399360350926</v>
      </c>
      <c r="D153" s="3">
        <v>2.6666933084734268</v>
      </c>
      <c r="E153" s="1">
        <v>22</v>
      </c>
      <c r="F153" s="3">
        <v>0.5685409236672474</v>
      </c>
      <c r="G153" s="1" t="s">
        <v>56</v>
      </c>
      <c r="H153" s="1" t="s">
        <v>56</v>
      </c>
      <c r="I153" s="1">
        <v>0</v>
      </c>
      <c r="J153" s="1" t="s">
        <v>56</v>
      </c>
      <c r="K153" s="2">
        <v>5.9968299063754502</v>
      </c>
      <c r="L153" s="3">
        <v>58.029721020383128</v>
      </c>
      <c r="M153" s="1">
        <v>27</v>
      </c>
      <c r="N153" s="3">
        <v>11.16782501737236</v>
      </c>
      <c r="O153" s="1" t="s">
        <v>56</v>
      </c>
      <c r="P153" s="1" t="s">
        <v>56</v>
      </c>
      <c r="Q153" s="1">
        <v>0</v>
      </c>
      <c r="R153" s="1" t="s">
        <v>56</v>
      </c>
      <c r="S153" s="1" t="s">
        <v>56</v>
      </c>
      <c r="T153" s="1" t="s">
        <v>56</v>
      </c>
      <c r="U153" s="1">
        <v>0</v>
      </c>
      <c r="V153" s="1" t="s">
        <v>56</v>
      </c>
      <c r="W153" s="1" t="s">
        <v>56</v>
      </c>
      <c r="X153" s="1" t="s">
        <v>56</v>
      </c>
      <c r="Y153" s="1" t="s">
        <v>56</v>
      </c>
      <c r="Z153" s="1" t="s">
        <v>56</v>
      </c>
      <c r="AA153" s="1">
        <v>63.33</v>
      </c>
      <c r="AB153" s="1">
        <v>4.4400000000000004</v>
      </c>
      <c r="AC153" s="1">
        <v>15</v>
      </c>
      <c r="AD153" s="1">
        <v>1.1499999999999999</v>
      </c>
      <c r="AE153" s="1">
        <v>11.27</v>
      </c>
      <c r="AF153" s="1">
        <v>0.8</v>
      </c>
      <c r="AG153" s="1">
        <v>15</v>
      </c>
      <c r="AH153" s="1">
        <v>0.21</v>
      </c>
      <c r="AI153" s="1">
        <v>1.93</v>
      </c>
      <c r="AJ153" s="1">
        <v>0.59</v>
      </c>
      <c r="AK153" s="1">
        <v>15</v>
      </c>
      <c r="AL153" s="1">
        <v>0.15</v>
      </c>
      <c r="AM153" s="1">
        <v>0.73</v>
      </c>
      <c r="AN153" s="1">
        <v>0.46</v>
      </c>
      <c r="AO153" s="1">
        <v>15</v>
      </c>
      <c r="AP153" s="1">
        <v>0.12</v>
      </c>
      <c r="AQ153" s="1">
        <v>2.67</v>
      </c>
      <c r="AR153" s="1">
        <v>0.9</v>
      </c>
      <c r="AS153" s="1">
        <v>15</v>
      </c>
      <c r="AT153" s="1">
        <v>0.23</v>
      </c>
      <c r="AU153" s="1">
        <v>71.14</v>
      </c>
      <c r="AV153" s="1">
        <v>4.13</v>
      </c>
      <c r="AW153" s="1">
        <v>22</v>
      </c>
      <c r="AX153" s="1">
        <v>0.88</v>
      </c>
      <c r="AY153" s="1">
        <v>76.86</v>
      </c>
      <c r="AZ153" s="1">
        <v>3.52</v>
      </c>
      <c r="BA153" s="1">
        <v>22</v>
      </c>
      <c r="BB153" s="1">
        <v>0.75</v>
      </c>
      <c r="BC153" s="1">
        <v>1.23</v>
      </c>
      <c r="BD153" s="1">
        <v>0.43</v>
      </c>
      <c r="BE153" s="1">
        <v>22</v>
      </c>
      <c r="BF153" s="1">
        <v>0.09</v>
      </c>
      <c r="BG153" s="1">
        <v>1.18</v>
      </c>
      <c r="BH153" s="1">
        <v>0.39</v>
      </c>
      <c r="BI153" s="1">
        <v>22</v>
      </c>
      <c r="BJ153" s="1">
        <v>0.08</v>
      </c>
      <c r="BK153" s="1">
        <v>160.87</v>
      </c>
      <c r="BL153" s="1">
        <v>11.28</v>
      </c>
      <c r="BM153" s="1">
        <v>15</v>
      </c>
      <c r="BN153" s="1">
        <v>2.91</v>
      </c>
    </row>
    <row r="154" spans="1:66" ht="15.75" customHeight="1" x14ac:dyDescent="0.2">
      <c r="A154" s="1" t="s">
        <v>77</v>
      </c>
      <c r="B154" s="1" t="s">
        <v>115</v>
      </c>
      <c r="C154" s="2">
        <v>5.3487640069538358</v>
      </c>
      <c r="D154" s="3">
        <v>2.6434813923686411</v>
      </c>
      <c r="E154" s="1">
        <v>27</v>
      </c>
      <c r="F154" s="3">
        <v>0.50873823116060057</v>
      </c>
      <c r="G154" s="1" t="s">
        <v>56</v>
      </c>
      <c r="H154" s="1" t="s">
        <v>56</v>
      </c>
      <c r="I154" s="1">
        <v>0</v>
      </c>
      <c r="J154" s="1" t="s">
        <v>56</v>
      </c>
      <c r="K154" s="2">
        <v>22.947237530963697</v>
      </c>
      <c r="L154" s="3">
        <v>41.591655551450152</v>
      </c>
      <c r="M154" s="1">
        <v>28</v>
      </c>
      <c r="N154" s="3">
        <v>7.860084086042578</v>
      </c>
      <c r="O154" s="1" t="s">
        <v>56</v>
      </c>
      <c r="P154" s="1" t="s">
        <v>56</v>
      </c>
      <c r="Q154" s="1">
        <v>0</v>
      </c>
      <c r="R154" s="1" t="s">
        <v>56</v>
      </c>
      <c r="S154" s="1" t="s">
        <v>56</v>
      </c>
      <c r="T154" s="1" t="s">
        <v>56</v>
      </c>
      <c r="U154" s="1">
        <v>0</v>
      </c>
      <c r="V154" s="1" t="s">
        <v>56</v>
      </c>
      <c r="W154" s="1" t="s">
        <v>56</v>
      </c>
      <c r="X154" s="1" t="s">
        <v>56</v>
      </c>
      <c r="Y154" s="1" t="s">
        <v>56</v>
      </c>
      <c r="Z154" s="1" t="s">
        <v>56</v>
      </c>
      <c r="AA154" s="1">
        <v>61.46</v>
      </c>
      <c r="AB154" s="1">
        <v>4.2</v>
      </c>
      <c r="AC154" s="1">
        <v>18</v>
      </c>
      <c r="AD154" s="1">
        <v>0.99</v>
      </c>
      <c r="AE154" s="1">
        <v>10.84</v>
      </c>
      <c r="AF154" s="1">
        <v>0.83</v>
      </c>
      <c r="AG154" s="1">
        <v>19</v>
      </c>
      <c r="AH154" s="1">
        <v>0.19</v>
      </c>
      <c r="AI154" s="1">
        <v>2.0499999999999998</v>
      </c>
      <c r="AJ154" s="1">
        <v>0.62</v>
      </c>
      <c r="AK154" s="1">
        <v>19</v>
      </c>
      <c r="AL154" s="1">
        <v>0.14000000000000001</v>
      </c>
      <c r="AM154" s="1">
        <v>1.1100000000000001</v>
      </c>
      <c r="AN154" s="1">
        <v>0.46</v>
      </c>
      <c r="AO154" s="1">
        <v>19</v>
      </c>
      <c r="AP154" s="1">
        <v>0.11</v>
      </c>
      <c r="AQ154" s="1">
        <v>3.16</v>
      </c>
      <c r="AR154" s="1">
        <v>0.9</v>
      </c>
      <c r="AS154" s="1">
        <v>19</v>
      </c>
      <c r="AT154" s="1">
        <v>0.21</v>
      </c>
      <c r="AU154" s="1">
        <v>74.27</v>
      </c>
      <c r="AV154" s="1">
        <v>3.12</v>
      </c>
      <c r="AW154" s="1">
        <v>26</v>
      </c>
      <c r="AX154" s="1">
        <v>0.61</v>
      </c>
      <c r="AY154" s="1">
        <v>80.73</v>
      </c>
      <c r="AZ154" s="1">
        <v>2.41</v>
      </c>
      <c r="BA154" s="1">
        <v>26</v>
      </c>
      <c r="BB154" s="1">
        <v>0.47</v>
      </c>
      <c r="BC154" s="1">
        <v>1.5</v>
      </c>
      <c r="BD154" s="1">
        <v>0.51</v>
      </c>
      <c r="BE154" s="1">
        <v>26</v>
      </c>
      <c r="BF154" s="1">
        <v>0.1</v>
      </c>
      <c r="BG154" s="1">
        <v>1.46</v>
      </c>
      <c r="BH154" s="1">
        <v>0.51</v>
      </c>
      <c r="BI154" s="1">
        <v>26</v>
      </c>
      <c r="BJ154" s="1">
        <v>0.1</v>
      </c>
      <c r="BK154" s="1">
        <v>156.1</v>
      </c>
      <c r="BL154" s="1">
        <v>10.67</v>
      </c>
      <c r="BM154" s="1">
        <v>18</v>
      </c>
      <c r="BN154" s="1">
        <v>2.52</v>
      </c>
    </row>
    <row r="155" spans="1:66" ht="15.75" customHeight="1" x14ac:dyDescent="0.2">
      <c r="A155" s="1" t="s">
        <v>77</v>
      </c>
      <c r="B155" s="1" t="s">
        <v>116</v>
      </c>
      <c r="C155" s="2">
        <v>1.8952452458634166</v>
      </c>
      <c r="D155" s="3">
        <v>1.2607767962198653</v>
      </c>
      <c r="E155" s="1">
        <v>27</v>
      </c>
      <c r="F155" s="3">
        <v>0.2426366075618577</v>
      </c>
      <c r="G155" s="1" t="s">
        <v>56</v>
      </c>
      <c r="H155" s="1" t="s">
        <v>56</v>
      </c>
      <c r="I155" s="1">
        <v>0</v>
      </c>
      <c r="J155" s="1" t="s">
        <v>56</v>
      </c>
      <c r="K155" s="2">
        <v>72.697639761218099</v>
      </c>
      <c r="L155" s="3">
        <v>19.241914056341681</v>
      </c>
      <c r="M155" s="1">
        <v>28</v>
      </c>
      <c r="N155" s="3">
        <v>3.6363799529970127</v>
      </c>
      <c r="O155" s="1" t="s">
        <v>56</v>
      </c>
      <c r="P155" s="1" t="s">
        <v>56</v>
      </c>
      <c r="Q155" s="1">
        <v>0</v>
      </c>
      <c r="R155" s="1" t="s">
        <v>56</v>
      </c>
      <c r="S155" s="1" t="s">
        <v>56</v>
      </c>
      <c r="T155" s="1" t="s">
        <v>56</v>
      </c>
      <c r="U155" s="1">
        <v>0</v>
      </c>
      <c r="V155" s="1" t="s">
        <v>56</v>
      </c>
      <c r="W155" s="1" t="s">
        <v>56</v>
      </c>
      <c r="X155" s="1" t="s">
        <v>56</v>
      </c>
      <c r="Y155" s="1" t="s">
        <v>56</v>
      </c>
      <c r="Z155" s="1" t="s">
        <v>56</v>
      </c>
      <c r="AA155" s="1">
        <v>57.82</v>
      </c>
      <c r="AB155" s="1">
        <v>7.56</v>
      </c>
      <c r="AC155" s="1">
        <v>15</v>
      </c>
      <c r="AD155" s="1">
        <v>1.95</v>
      </c>
      <c r="AE155" s="1">
        <v>12.2</v>
      </c>
      <c r="AF155" s="1">
        <v>0.94</v>
      </c>
      <c r="AG155" s="1">
        <v>15</v>
      </c>
      <c r="AH155" s="1">
        <v>0.24</v>
      </c>
      <c r="AI155" s="1">
        <v>1.27</v>
      </c>
      <c r="AJ155" s="1">
        <v>0.59</v>
      </c>
      <c r="AK155" s="1">
        <v>15</v>
      </c>
      <c r="AL155" s="1">
        <v>0.15</v>
      </c>
      <c r="AM155" s="1">
        <v>1</v>
      </c>
      <c r="AN155" s="1">
        <v>0.53</v>
      </c>
      <c r="AO155" s="1">
        <v>15</v>
      </c>
      <c r="AP155" s="1">
        <v>0.14000000000000001</v>
      </c>
      <c r="AQ155" s="1">
        <v>2.27</v>
      </c>
      <c r="AR155" s="1">
        <v>1.03</v>
      </c>
      <c r="AS155" s="1">
        <v>15</v>
      </c>
      <c r="AT155" s="1">
        <v>0.27</v>
      </c>
      <c r="AU155" s="1">
        <v>74.52</v>
      </c>
      <c r="AV155" s="1">
        <v>2.69</v>
      </c>
      <c r="AW155" s="1">
        <v>27</v>
      </c>
      <c r="AX155" s="1">
        <v>0.52</v>
      </c>
      <c r="AY155" s="1">
        <v>81.52</v>
      </c>
      <c r="AZ155" s="1">
        <v>2.69</v>
      </c>
      <c r="BA155" s="1">
        <v>27</v>
      </c>
      <c r="BB155" s="1">
        <v>0.52</v>
      </c>
      <c r="BC155" s="1">
        <v>1.74</v>
      </c>
      <c r="BD155" s="1">
        <v>0.45</v>
      </c>
      <c r="BE155" s="1">
        <v>27</v>
      </c>
      <c r="BF155" s="1">
        <v>0.09</v>
      </c>
      <c r="BG155" s="1">
        <v>1.22</v>
      </c>
      <c r="BH155" s="1">
        <v>0.42</v>
      </c>
      <c r="BI155" s="1">
        <v>27</v>
      </c>
      <c r="BJ155" s="1">
        <v>0.08</v>
      </c>
      <c r="BK155" s="1">
        <v>146.85</v>
      </c>
      <c r="BL155" s="1">
        <v>19.21</v>
      </c>
      <c r="BM155" s="1">
        <v>15</v>
      </c>
      <c r="BN155" s="1">
        <v>4.96</v>
      </c>
    </row>
    <row r="156" spans="1:66" ht="15.75" customHeight="1" x14ac:dyDescent="0.2">
      <c r="A156" s="1" t="s">
        <v>77</v>
      </c>
      <c r="B156" s="1" t="s">
        <v>117</v>
      </c>
      <c r="C156" s="2">
        <v>1.9752827681832508</v>
      </c>
      <c r="D156" s="3">
        <v>0.91415662424950328</v>
      </c>
      <c r="E156" s="1">
        <v>26</v>
      </c>
      <c r="F156" s="3">
        <v>0.17928086405878171</v>
      </c>
      <c r="G156" s="1" t="s">
        <v>56</v>
      </c>
      <c r="H156" s="1" t="s">
        <v>56</v>
      </c>
      <c r="I156" s="1">
        <v>0</v>
      </c>
      <c r="J156" s="1" t="s">
        <v>56</v>
      </c>
      <c r="K156" s="2">
        <v>72.598544279462061</v>
      </c>
      <c r="L156" s="3">
        <v>15.250881166195523</v>
      </c>
      <c r="M156" s="1">
        <v>28</v>
      </c>
      <c r="N156" s="3">
        <v>2.8821456314537195</v>
      </c>
      <c r="O156" s="1" t="s">
        <v>56</v>
      </c>
      <c r="P156" s="1" t="s">
        <v>56</v>
      </c>
      <c r="Q156" s="1">
        <v>0</v>
      </c>
      <c r="R156" s="1" t="s">
        <v>56</v>
      </c>
      <c r="S156" s="1" t="s">
        <v>56</v>
      </c>
      <c r="T156" s="1" t="s">
        <v>56</v>
      </c>
      <c r="U156" s="1">
        <v>0</v>
      </c>
      <c r="V156" s="1" t="s">
        <v>56</v>
      </c>
      <c r="W156" s="1" t="s">
        <v>56</v>
      </c>
      <c r="X156" s="1" t="s">
        <v>56</v>
      </c>
      <c r="Y156" s="1" t="s">
        <v>56</v>
      </c>
      <c r="Z156" s="1" t="s">
        <v>56</v>
      </c>
      <c r="AA156" s="1">
        <v>58.9</v>
      </c>
      <c r="AB156" s="1">
        <v>8.33</v>
      </c>
      <c r="AC156" s="1">
        <v>16</v>
      </c>
      <c r="AD156" s="1">
        <v>2.08</v>
      </c>
      <c r="AE156" s="1">
        <v>12.63</v>
      </c>
      <c r="AF156" s="1">
        <v>0.96</v>
      </c>
      <c r="AG156" s="1">
        <v>16</v>
      </c>
      <c r="AH156" s="1">
        <v>0.24</v>
      </c>
      <c r="AI156" s="1">
        <v>1.56</v>
      </c>
      <c r="AJ156" s="1">
        <v>0.63</v>
      </c>
      <c r="AK156" s="1">
        <v>16</v>
      </c>
      <c r="AL156" s="1">
        <v>0.16</v>
      </c>
      <c r="AM156" s="1">
        <v>1.1299999999999999</v>
      </c>
      <c r="AN156" s="1">
        <v>0.62</v>
      </c>
      <c r="AO156" s="1">
        <v>16</v>
      </c>
      <c r="AP156" s="1">
        <v>0.15</v>
      </c>
      <c r="AQ156" s="1">
        <v>2.69</v>
      </c>
      <c r="AR156" s="1">
        <v>1.1399999999999999</v>
      </c>
      <c r="AS156" s="1">
        <v>16</v>
      </c>
      <c r="AT156" s="1">
        <v>0.28000000000000003</v>
      </c>
      <c r="AU156" s="1">
        <v>76.959999999999994</v>
      </c>
      <c r="AV156" s="1">
        <v>4.04</v>
      </c>
      <c r="AW156" s="1">
        <v>26</v>
      </c>
      <c r="AX156" s="1">
        <v>0.79</v>
      </c>
      <c r="AY156" s="1">
        <v>82.35</v>
      </c>
      <c r="AZ156" s="1">
        <v>3.97</v>
      </c>
      <c r="BA156" s="1">
        <v>26</v>
      </c>
      <c r="BB156" s="1">
        <v>0.78</v>
      </c>
      <c r="BC156" s="1">
        <v>1.88</v>
      </c>
      <c r="BD156" s="1">
        <v>0.43</v>
      </c>
      <c r="BE156" s="1">
        <v>26</v>
      </c>
      <c r="BF156" s="1">
        <v>0.08</v>
      </c>
      <c r="BG156" s="1">
        <v>1.46</v>
      </c>
      <c r="BH156" s="1">
        <v>0.51</v>
      </c>
      <c r="BI156" s="1">
        <v>26</v>
      </c>
      <c r="BJ156" s="1">
        <v>0.1</v>
      </c>
      <c r="BK156" s="1">
        <v>149.6</v>
      </c>
      <c r="BL156" s="1">
        <v>21.17</v>
      </c>
      <c r="BM156" s="1">
        <v>16</v>
      </c>
      <c r="BN156" s="1">
        <v>5.29</v>
      </c>
    </row>
    <row r="157" spans="1:66" ht="15.75" customHeight="1" x14ac:dyDescent="0.2">
      <c r="A157" s="1" t="s">
        <v>77</v>
      </c>
      <c r="B157" s="1" t="s">
        <v>118</v>
      </c>
      <c r="C157" s="1">
        <v>5.0624044509999999</v>
      </c>
      <c r="D157" s="1">
        <v>3.6662993130000001</v>
      </c>
      <c r="E157" s="1">
        <v>155</v>
      </c>
      <c r="F157" s="1">
        <v>0.29448424699999998</v>
      </c>
      <c r="G157" s="1" t="s">
        <v>56</v>
      </c>
      <c r="H157" s="1" t="s">
        <v>56</v>
      </c>
      <c r="I157" s="1">
        <v>0</v>
      </c>
      <c r="J157" s="1" t="s">
        <v>56</v>
      </c>
      <c r="K157" s="1">
        <v>29.57592239167608</v>
      </c>
      <c r="L157" s="1">
        <v>56.064276087299156</v>
      </c>
      <c r="M157" s="1">
        <v>167</v>
      </c>
      <c r="N157" s="1">
        <v>4.3383839351560143</v>
      </c>
      <c r="O157" s="1" t="s">
        <v>56</v>
      </c>
      <c r="P157" s="1" t="s">
        <v>56</v>
      </c>
      <c r="Q157" s="1">
        <v>0</v>
      </c>
      <c r="R157" s="1" t="s">
        <v>56</v>
      </c>
      <c r="S157" s="1" t="s">
        <v>56</v>
      </c>
      <c r="T157" s="1" t="s">
        <v>56</v>
      </c>
      <c r="U157" s="1">
        <v>0</v>
      </c>
      <c r="V157" s="1" t="s">
        <v>56</v>
      </c>
      <c r="W157" s="1" t="s">
        <v>56</v>
      </c>
      <c r="X157" s="1" t="s">
        <v>56</v>
      </c>
      <c r="Y157" s="1" t="s">
        <v>56</v>
      </c>
      <c r="Z157" s="1" t="s">
        <v>56</v>
      </c>
      <c r="AA157" s="1">
        <v>62.48808511</v>
      </c>
      <c r="AB157" s="1">
        <v>7.5014880640000001</v>
      </c>
      <c r="AC157" s="1">
        <v>94</v>
      </c>
      <c r="AD157" s="1">
        <v>0.77371941700000002</v>
      </c>
      <c r="AE157" s="1">
        <v>11.884210530000001</v>
      </c>
      <c r="AF157" s="1">
        <v>1.1747626099999999</v>
      </c>
      <c r="AG157" s="1">
        <v>95</v>
      </c>
      <c r="AH157" s="1">
        <v>0.120528101</v>
      </c>
      <c r="AI157" s="1">
        <v>1.747368421</v>
      </c>
      <c r="AJ157" s="1">
        <v>0.77140961100000005</v>
      </c>
      <c r="AK157" s="1">
        <v>95</v>
      </c>
      <c r="AL157" s="1">
        <v>7.9144956000000002E-2</v>
      </c>
      <c r="AM157" s="1">
        <v>1.021052632</v>
      </c>
      <c r="AN157" s="1">
        <v>0.52549768399999996</v>
      </c>
      <c r="AO157" s="1">
        <v>95</v>
      </c>
      <c r="AP157" s="1">
        <v>5.3914925000000002E-2</v>
      </c>
      <c r="AQ157" s="1">
        <v>2.768421053</v>
      </c>
      <c r="AR157" s="1">
        <v>1.0763673300000001</v>
      </c>
      <c r="AS157" s="1">
        <v>95</v>
      </c>
      <c r="AT157" s="1">
        <v>0.110432958</v>
      </c>
      <c r="AU157" s="1">
        <v>74</v>
      </c>
      <c r="AV157" s="1">
        <v>4.2349309939999999</v>
      </c>
      <c r="AW157" s="1">
        <v>94</v>
      </c>
      <c r="AX157" s="1">
        <v>0.34126046500000001</v>
      </c>
      <c r="AY157" s="1">
        <v>79.535947710000002</v>
      </c>
      <c r="AZ157" s="1">
        <v>3.9051688819999999</v>
      </c>
      <c r="BA157" s="1">
        <v>94</v>
      </c>
      <c r="BB157" s="1">
        <v>0.315714192</v>
      </c>
      <c r="BC157" s="1">
        <v>1.5974025970000001</v>
      </c>
      <c r="BD157" s="1">
        <v>0.51790781399999997</v>
      </c>
      <c r="BE157" s="1">
        <v>154</v>
      </c>
      <c r="BF157" s="1">
        <v>4.1734200999999999E-2</v>
      </c>
      <c r="BG157" s="1">
        <v>1.3376623379999999</v>
      </c>
      <c r="BH157" s="1">
        <v>0.474455715</v>
      </c>
      <c r="BI157" s="1">
        <v>154</v>
      </c>
      <c r="BJ157" s="1">
        <v>3.8232730999999999E-2</v>
      </c>
      <c r="BK157" s="1">
        <v>158.7197361794</v>
      </c>
      <c r="BL157" s="1">
        <v>19.053779682560002</v>
      </c>
      <c r="BM157" s="1">
        <v>94</v>
      </c>
      <c r="BN157" s="1">
        <v>1.9652473191800002</v>
      </c>
    </row>
    <row r="160" spans="1:66" ht="15.75" customHeight="1" x14ac:dyDescent="0.2"/>
    <row r="161" spans="20:20" ht="15.75" customHeight="1" x14ac:dyDescent="0.2">
      <c r="T161" s="6" t="s">
        <v>119</v>
      </c>
    </row>
    <row r="162" spans="20:20" ht="15.75" customHeight="1" x14ac:dyDescent="0.2"/>
    <row r="163" spans="20:20" ht="15.75" customHeight="1" x14ac:dyDescent="0.2"/>
    <row r="164" spans="20:20" ht="15.75" customHeight="1" x14ac:dyDescent="0.2"/>
    <row r="165" spans="20:20" ht="15.75" customHeight="1" x14ac:dyDescent="0.2"/>
    <row r="166" spans="20:20" ht="15.75" customHeight="1" x14ac:dyDescent="0.2"/>
    <row r="167" spans="20:20" ht="15.75" customHeight="1" x14ac:dyDescent="0.2"/>
    <row r="168" spans="20:20" ht="15.75" customHeight="1" x14ac:dyDescent="0.2"/>
    <row r="169" spans="20:20" ht="15.75" customHeight="1" x14ac:dyDescent="0.2"/>
    <row r="170" spans="20:20" ht="15.75" customHeight="1" x14ac:dyDescent="0.2"/>
    <row r="171" spans="20:20" ht="15.75" customHeight="1" x14ac:dyDescent="0.2"/>
    <row r="172" spans="20:20" ht="15.75" customHeight="1" x14ac:dyDescent="0.2"/>
    <row r="173" spans="20:20" ht="15.75" customHeight="1" x14ac:dyDescent="0.2"/>
    <row r="174" spans="20:20" ht="15.75" customHeight="1" x14ac:dyDescent="0.2"/>
    <row r="175" spans="20:20" ht="15.75" customHeight="1" x14ac:dyDescent="0.2"/>
    <row r="176" spans="20:20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spans="20:20" ht="15.75" customHeight="1" x14ac:dyDescent="0.2"/>
    <row r="194" spans="20:20" ht="15.75" customHeight="1" x14ac:dyDescent="0.2"/>
    <row r="195" spans="20:20" ht="15.75" customHeight="1" x14ac:dyDescent="0.2"/>
    <row r="196" spans="20:20" ht="15.75" customHeight="1" x14ac:dyDescent="0.2"/>
    <row r="197" spans="20:20" ht="15.75" customHeight="1" x14ac:dyDescent="0.2">
      <c r="T197" s="6" t="s">
        <v>120</v>
      </c>
    </row>
    <row r="198" spans="20:20" ht="15.75" customHeight="1" x14ac:dyDescent="0.2"/>
    <row r="199" spans="20:20" ht="15.75" customHeight="1" x14ac:dyDescent="0.2"/>
    <row r="200" spans="20:20" ht="15.75" customHeight="1" x14ac:dyDescent="0.2"/>
    <row r="201" spans="20:20" ht="15.75" customHeight="1" x14ac:dyDescent="0.2"/>
    <row r="202" spans="20:20" ht="15.75" customHeight="1" x14ac:dyDescent="0.2"/>
    <row r="203" spans="20:20" ht="15.75" customHeight="1" x14ac:dyDescent="0.2"/>
    <row r="204" spans="20:20" ht="15.75" customHeight="1" x14ac:dyDescent="0.2"/>
    <row r="205" spans="20:20" ht="15.75" customHeight="1" x14ac:dyDescent="0.2"/>
    <row r="206" spans="20:20" ht="15.75" customHeight="1" x14ac:dyDescent="0.2"/>
    <row r="207" spans="20:20" ht="15.75" customHeight="1" x14ac:dyDescent="0.2"/>
    <row r="208" spans="20:20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Zea-Trial-1_Metadata_Avg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ละอองทิพย์ รักณรงค์</cp:lastModifiedBy>
  <dcterms:created xsi:type="dcterms:W3CDTF">2016-11-14T10:25:24Z</dcterms:created>
  <dcterms:modified xsi:type="dcterms:W3CDTF">2026-01-11T11:34:18Z</dcterms:modified>
</cp:coreProperties>
</file>